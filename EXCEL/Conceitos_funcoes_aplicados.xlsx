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0fbad54e2b6473/Área de Trabalho/Analista de Dados/PROJETOS/EXCEL/"/>
    </mc:Choice>
  </mc:AlternateContent>
  <xr:revisionPtr revIDLastSave="1329" documentId="8_{D00C6487-0009-402D-B3D9-9C56308C7B26}" xr6:coauthVersionLast="47" xr6:coauthVersionMax="47" xr10:uidLastSave="{BFF28942-96C2-46E6-A4F8-4EAB1845CD50}"/>
  <bookViews>
    <workbookView xWindow="-120" yWindow="-120" windowWidth="20730" windowHeight="11040" xr2:uid="{89687099-4975-422A-B6C0-6ED5B446EBE5}"/>
  </bookViews>
  <sheets>
    <sheet name="MENU" sheetId="8" r:id="rId1"/>
    <sheet name="DATAS, TEXTO" sheetId="29" r:id="rId2"/>
    <sheet name="ESQUERDA, DIREITA" sheetId="26" r:id="rId3"/>
    <sheet name="REMOVER DUPLICATAS E TXT PARA C" sheetId="28" r:id="rId4"/>
    <sheet name="AGRUPAR" sheetId="25" r:id="rId5"/>
    <sheet name="SUBTOTAL" sheetId="24" r:id="rId6"/>
    <sheet name="FILTRO AVANÇADO" sheetId="23" r:id="rId7"/>
    <sheet name="Auditoria de fórmulas" sheetId="22" r:id="rId8"/>
    <sheet name="Sensibilidade" sheetId="21" r:id="rId9"/>
    <sheet name="Resumo do cenário" sheetId="20" r:id="rId10"/>
    <sheet name="Gerenciar cenário" sheetId="16" r:id="rId11"/>
    <sheet name="Atingir meta" sheetId="15" r:id="rId12"/>
    <sheet name="Lista_Suspensa" sheetId="14" r:id="rId13"/>
    <sheet name="TRANSPOR" sheetId="13" r:id="rId14"/>
    <sheet name="PROCV H + IND+CORRESP" sheetId="12" r:id="rId15"/>
    <sheet name="e, se, ou, não" sheetId="9" r:id="rId16"/>
    <sheet name="SEERRO" sheetId="10" r:id="rId17"/>
    <sheet name="CONT,SOMA,MEDIA" sheetId="11" r:id="rId18"/>
    <sheet name="DESLOC" sheetId="1" r:id="rId19"/>
    <sheet name="FUNÇÃO MATRIZ" sheetId="2" r:id="rId20"/>
    <sheet name="INDIRETO" sheetId="4" r:id="rId21"/>
    <sheet name="SOMARPRODUTO" sheetId="6" r:id="rId22"/>
    <sheet name="REFERÊNCIAS" sheetId="5" r:id="rId23"/>
  </sheets>
  <definedNames>
    <definedName name="_xlnm._FilterDatabase" localSheetId="6" hidden="1">'FILTRO AVANÇADO'!$A$1:$C$17</definedName>
    <definedName name="_xlnm.Extract" localSheetId="6">'FILTRO AVANÇADO'!$H$6:$J$6</definedName>
    <definedName name="_xlnm.Criteria" localSheetId="6">'FILTRO AVANÇADO'!$E$1:$F$2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9" l="1"/>
  <c r="J15" i="29"/>
  <c r="I15" i="29"/>
  <c r="H15" i="29"/>
  <c r="G15" i="29"/>
  <c r="F15" i="29"/>
  <c r="A11" i="29"/>
  <c r="A8" i="29"/>
  <c r="B2" i="29"/>
  <c r="B17" i="29" s="1"/>
  <c r="H10" i="26"/>
  <c r="H11" i="26"/>
  <c r="H12" i="26"/>
  <c r="H9" i="26"/>
  <c r="I5" i="26"/>
  <c r="I6" i="26"/>
  <c r="I4" i="26"/>
  <c r="H5" i="26"/>
  <c r="J5" i="26" s="1"/>
  <c r="K5" i="26" s="1"/>
  <c r="H6" i="26"/>
  <c r="J6" i="26" s="1"/>
  <c r="K6" i="26" s="1"/>
  <c r="H4" i="26"/>
  <c r="J4" i="26" s="1"/>
  <c r="K4" i="26" s="1"/>
  <c r="B2" i="25"/>
  <c r="B11" i="25" s="1"/>
  <c r="B13" i="25" s="1"/>
  <c r="B18" i="25" s="1"/>
  <c r="B21" i="25" s="1"/>
  <c r="B23" i="25" s="1"/>
  <c r="E5" i="24"/>
  <c r="F3" i="22"/>
  <c r="C5" i="22" s="1"/>
  <c r="E6" i="22" s="1"/>
  <c r="C5" i="21"/>
  <c r="E11" i="21" s="1"/>
  <c r="G6" i="16"/>
  <c r="G10" i="16"/>
  <c r="H10" i="16"/>
  <c r="G9" i="16"/>
  <c r="H9" i="16"/>
  <c r="G8" i="16"/>
  <c r="H8" i="16"/>
  <c r="G7" i="16"/>
  <c r="H7" i="16"/>
  <c r="H6" i="16"/>
  <c r="G5" i="15"/>
  <c r="C3" i="4" a="1"/>
  <c r="C3" i="4"/>
  <c r="D3" i="4"/>
  <c r="O5" i="2"/>
  <c r="O6" i="2"/>
  <c r="O7" i="2"/>
  <c r="O8" i="2"/>
  <c r="N10" i="2"/>
  <c r="E3" i="13" a="1"/>
  <c r="E3" i="13"/>
  <c r="L8" i="12"/>
  <c r="L9" i="12"/>
  <c r="L10" i="12"/>
  <c r="L11" i="12"/>
  <c r="L12" i="12"/>
  <c r="L13" i="12"/>
  <c r="L7" i="12"/>
  <c r="F18" i="12"/>
  <c r="F19" i="12"/>
  <c r="F20" i="12"/>
  <c r="F21" i="12"/>
  <c r="F22" i="12"/>
  <c r="F23" i="12"/>
  <c r="F17" i="12"/>
  <c r="G4" i="12"/>
  <c r="G5" i="12"/>
  <c r="G6" i="12"/>
  <c r="G7" i="12"/>
  <c r="G8" i="12"/>
  <c r="G9" i="12"/>
  <c r="G3" i="12"/>
  <c r="G6" i="11"/>
  <c r="F6" i="11"/>
  <c r="E6" i="11"/>
  <c r="H3" i="11"/>
  <c r="G3" i="11"/>
  <c r="F3" i="11"/>
  <c r="E3" i="11"/>
  <c r="H7" i="10"/>
  <c r="H8" i="10"/>
  <c r="H3" i="10"/>
  <c r="H4" i="10"/>
  <c r="H5" i="10"/>
  <c r="H6" i="10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14" i="9"/>
  <c r="G14" i="9" s="1"/>
  <c r="E3" i="9"/>
  <c r="G4" i="9"/>
  <c r="G5" i="9"/>
  <c r="G6" i="9"/>
  <c r="G7" i="9"/>
  <c r="G8" i="9"/>
  <c r="G9" i="9"/>
  <c r="G10" i="9"/>
  <c r="G11" i="9"/>
  <c r="G3" i="9"/>
  <c r="E11" i="9"/>
  <c r="E4" i="9"/>
  <c r="E5" i="9"/>
  <c r="E6" i="9"/>
  <c r="E7" i="9"/>
  <c r="E8" i="9"/>
  <c r="E9" i="9"/>
  <c r="E10" i="9"/>
  <c r="D12" i="6" a="1"/>
  <c r="D12" i="6" s="1"/>
  <c r="D8" i="6"/>
  <c r="D7" i="6"/>
  <c r="D6" i="6"/>
  <c r="D5" i="6"/>
  <c r="D4" i="6"/>
  <c r="D3" i="6"/>
  <c r="G7" i="5"/>
  <c r="H6" i="5"/>
  <c r="G6" i="5"/>
  <c r="J3" i="5"/>
  <c r="G3" i="5"/>
  <c r="K2" i="5"/>
  <c r="J2" i="5"/>
  <c r="H2" i="5"/>
  <c r="G2" i="5"/>
  <c r="B12" i="2" a="1"/>
  <c r="B12" i="2" s="1"/>
  <c r="G11" i="2" a="1"/>
  <c r="G11" i="2" s="1"/>
  <c r="B11" i="2" a="1"/>
  <c r="B11" i="2" s="1"/>
  <c r="E8" i="2"/>
  <c r="E7" i="2"/>
  <c r="G6" i="2" a="1"/>
  <c r="G6" i="2" s="1"/>
  <c r="E6" i="2"/>
  <c r="E5" i="2"/>
  <c r="H4" i="2" a="1"/>
  <c r="H4" i="2" s="1"/>
  <c r="F4" i="2" a="1"/>
  <c r="F4" i="2" s="1"/>
  <c r="E4" i="2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/>
  <c r="E9" i="2" s="1"/>
  <c r="D2" i="1"/>
  <c r="D1" i="1"/>
  <c r="B16" i="29" l="1"/>
  <c r="B14" i="29"/>
  <c r="B15" i="29"/>
  <c r="G5" i="29"/>
  <c r="F5" i="29"/>
  <c r="E5" i="29"/>
  <c r="C5" i="29"/>
  <c r="D5" i="29"/>
  <c r="E2" i="29"/>
  <c r="B5" i="29"/>
  <c r="C2" i="29"/>
  <c r="D2" i="29"/>
  <c r="F3" i="21"/>
  <c r="I4" i="21"/>
  <c r="O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tc={E43F98F5-940B-4F67-97EF-2A540B26C4C5}</author>
    <author>tc={0E44F75F-150B-40D9-9CF4-02B7D5F7ECE7}</author>
    <author>tc={7C1AB278-2F5C-4F74-BC9B-9347831D7BD1}</author>
    <author>tc={9FC55501-EB11-4913-B8D7-98ED5BB5AAA5}</author>
    <author>tc={923D7940-0F5C-4637-A767-0B9798F89BB9}</author>
    <author>tc={D1057670-6313-4F77-8109-545D0134B1D7}</author>
  </authors>
  <commentList>
    <comment ref="G2" authorId="0" shapeId="0" xr:uid="{E43F98F5-940B-4F67-97EF-2A540B26C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1+2</t>
      </text>
    </comment>
    <comment ref="H2" authorId="1" shapeId="0" xr:uid="{0E44F75F-150B-40D9-9CF4-02B7D5F7EC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2+3
</t>
      </text>
    </comment>
    <comment ref="J2" authorId="2" shapeId="0" xr:uid="{7C1AB278-2F5C-4F74-BC9B-9347831D7B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1+2
</t>
      </text>
    </comment>
    <comment ref="G3" authorId="3" shapeId="0" xr:uid="{9FC55501-EB11-4913-B8D7-98ED5BB5AA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6+7</t>
      </text>
    </comment>
    <comment ref="H6" authorId="4" shapeId="0" xr:uid="{923D7940-0F5C-4637-A767-0B9798F89B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1+3</t>
      </text>
    </comment>
    <comment ref="G7" authorId="5" shapeId="0" xr:uid="{D1057670-6313-4F77-8109-545D0134B1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1+7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<sst xmlns="http://schemas.openxmlformats.org/spreadsheetml/2006/main" count="490" uniqueCount="286">
  <si>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</si>
  <si>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</si>
  <si>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</si>
  <si>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</si>
  <si>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</si>
  <si>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</si>
  <si>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</si>
  <si>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</si>
  <si>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</si>
  <si>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</si>
  <si>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</si>
  <si>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</si>
  <si>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mudando a coluna de 0 para 1</t>
  </si>
  <si>
    <t>somará os três últimos</t>
  </si>
  <si>
    <t>se excluir o valor muda para 156000</t>
  </si>
  <si>
    <t/>
  </si>
  <si>
    <t>produto</t>
  </si>
  <si>
    <t>quantidade</t>
  </si>
  <si>
    <t>preço unitário</t>
  </si>
  <si>
    <t>maçã</t>
  </si>
  <si>
    <t>pêra</t>
  </si>
  <si>
    <t>banana</t>
  </si>
  <si>
    <t>preço</t>
  </si>
  <si>
    <t>laranja</t>
  </si>
  <si>
    <t>Relativa</t>
  </si>
  <si>
    <t>Absoluta</t>
  </si>
  <si>
    <t>Mista</t>
  </si>
  <si>
    <t>vendedor</t>
  </si>
  <si>
    <t>vendas</t>
  </si>
  <si>
    <t>SOMASE</t>
  </si>
  <si>
    <t>carlos</t>
  </si>
  <si>
    <t>total de vendas</t>
  </si>
  <si>
    <t>karina</t>
  </si>
  <si>
    <t>igual ou superior a 100</t>
  </si>
  <si>
    <t>pedro</t>
  </si>
  <si>
    <t>marcela</t>
  </si>
  <si>
    <t>total geral</t>
  </si>
  <si>
    <t>SOMARPRODUTO</t>
  </si>
  <si>
    <t>soma de vendas abaixo de 100</t>
  </si>
  <si>
    <t>E, SE, OU, NÃO</t>
  </si>
  <si>
    <t>nome</t>
  </si>
  <si>
    <t>idade</t>
  </si>
  <si>
    <t>Daniel</t>
  </si>
  <si>
    <t>Bianca</t>
  </si>
  <si>
    <t>Pedro</t>
  </si>
  <si>
    <t>Angela</t>
  </si>
  <si>
    <t>Alberto</t>
  </si>
  <si>
    <t>Karina</t>
  </si>
  <si>
    <t>João</t>
  </si>
  <si>
    <t>Enzo</t>
  </si>
  <si>
    <t>Cidade</t>
  </si>
  <si>
    <t>SP</t>
  </si>
  <si>
    <t>RJ</t>
  </si>
  <si>
    <t>Selecionar todos que tem mais de 20 anos E moram em SP</t>
  </si>
  <si>
    <t>Camila</t>
  </si>
  <si>
    <t>identificar quem é maior de idade</t>
  </si>
  <si>
    <t>Selecionar quem tem mais de 40 anos OU mora no RJ</t>
  </si>
  <si>
    <t>Inverter valores da coluan À esquerda</t>
  </si>
  <si>
    <t>VOLTAR AO MENU</t>
  </si>
  <si>
    <t>PRODUTO</t>
  </si>
  <si>
    <t>PREÇO</t>
  </si>
  <si>
    <t>CATEGORIA</t>
  </si>
  <si>
    <t>Camisa</t>
  </si>
  <si>
    <t>Calça</t>
  </si>
  <si>
    <t>Bola</t>
  </si>
  <si>
    <t>Liquidificador</t>
  </si>
  <si>
    <t>Batedeira</t>
  </si>
  <si>
    <t>Vestuário</t>
  </si>
  <si>
    <t>Esporte</t>
  </si>
  <si>
    <t>Eletrodoméstico</t>
  </si>
  <si>
    <t>Id_venda</t>
  </si>
  <si>
    <t>batedeira</t>
  </si>
  <si>
    <t>Carro</t>
  </si>
  <si>
    <t>Navio</t>
  </si>
  <si>
    <t>SEERRO</t>
  </si>
  <si>
    <t>CONT.SE, SOMA.SE, MEDIA.SE</t>
  </si>
  <si>
    <t>SOMASE &lt; 50</t>
  </si>
  <si>
    <t>MEDIASE &gt; 50</t>
  </si>
  <si>
    <t>CONTSE &gt; 50</t>
  </si>
  <si>
    <t>CONTSE &lt; 50</t>
  </si>
  <si>
    <t>Valores</t>
  </si>
  <si>
    <t>SOMASES &lt; 199 E &lt; 500</t>
  </si>
  <si>
    <t>MEDIASES &gt; 600 E &lt; 700</t>
  </si>
  <si>
    <t>CONTSES &gt; 800 E &lt; 1000</t>
  </si>
  <si>
    <t>REFERêNCIAS RELATIVAS, ABSOLUTAS E MISTAS</t>
  </si>
  <si>
    <t>INDICE+CORRESP</t>
  </si>
  <si>
    <t>carro</t>
  </si>
  <si>
    <t>navio</t>
  </si>
  <si>
    <t>avião</t>
  </si>
  <si>
    <t>trem</t>
  </si>
  <si>
    <t>ônibus</t>
  </si>
  <si>
    <t>moto</t>
  </si>
  <si>
    <t>bicicleta</t>
  </si>
  <si>
    <t>valor</t>
  </si>
  <si>
    <t>Id_vendas</t>
  </si>
  <si>
    <t>PROCV</t>
  </si>
  <si>
    <t>PROCH</t>
  </si>
  <si>
    <t>PROC V E PROCH + INDICE+CORRESP</t>
  </si>
  <si>
    <t>DESLOC</t>
  </si>
  <si>
    <t>TRANSPOR</t>
  </si>
  <si>
    <t>INDIRETO</t>
  </si>
  <si>
    <t>FUNÇÃO MATRIZ</t>
  </si>
  <si>
    <t>V1</t>
  </si>
  <si>
    <t>V2</t>
  </si>
  <si>
    <t>V3</t>
  </si>
  <si>
    <t>indireto</t>
  </si>
  <si>
    <t>Manga</t>
  </si>
  <si>
    <t>alterar aqui</t>
  </si>
  <si>
    <t>FUNÇÕES</t>
  </si>
  <si>
    <t>FERRAMENTAS DE ANÁLISE DE E-SE</t>
  </si>
  <si>
    <t>FERRAMENTAS DE AUDITORIA E SIMULAÇÃO</t>
  </si>
  <si>
    <t>VALIDAÇÃO DE DADOS</t>
  </si>
  <si>
    <t>SEGMENTO_CLIENTE</t>
  </si>
  <si>
    <t>Física</t>
  </si>
  <si>
    <t>jurídica</t>
  </si>
  <si>
    <t>atacado</t>
  </si>
  <si>
    <t>varejo</t>
  </si>
  <si>
    <t>online</t>
  </si>
  <si>
    <t>TIPO DE CLIENTE</t>
  </si>
  <si>
    <t>VENDA</t>
  </si>
  <si>
    <t>Camiseta</t>
  </si>
  <si>
    <t>Blusa</t>
  </si>
  <si>
    <t>Meia</t>
  </si>
  <si>
    <t>Valor</t>
  </si>
  <si>
    <t>Regra personalizada: somente números positivos</t>
  </si>
  <si>
    <t>Listas suspensas e Regras Personalizadas (VALOR)</t>
  </si>
  <si>
    <t>preço de venda</t>
  </si>
  <si>
    <t>custo</t>
  </si>
  <si>
    <t>lucro</t>
  </si>
  <si>
    <t>quantidade vendida</t>
  </si>
  <si>
    <t>camisa</t>
  </si>
  <si>
    <t>*Deve existir uma fórmula do cálculo para que o atingir meta funcione</t>
  </si>
  <si>
    <t>* Clicar no lucro, onde está a fórmula. Dados &gt; hipóteses&gt; célula com fórmula&gt; Meta &gt; qual célula deve ter o valor alterado</t>
  </si>
  <si>
    <r>
      <t>Quantas unidades precisam ser vendidas para atingir um lucro de R$100.000</t>
    </r>
    <r>
      <rPr>
        <sz val="11"/>
        <color theme="1"/>
        <rFont val="Aptos Narrow"/>
        <family val="2"/>
        <scheme val="minor"/>
      </rPr>
      <t>, considerando preço e custo fixos?</t>
    </r>
  </si>
  <si>
    <t>ATINGIR META</t>
  </si>
  <si>
    <t>Como o faturamento e o lucro se comportam em diferentes cenários de vendas?</t>
  </si>
  <si>
    <t>Pessimista</t>
  </si>
  <si>
    <t>Realista</t>
  </si>
  <si>
    <t>Otimista</t>
  </si>
  <si>
    <t>Faturamento</t>
  </si>
  <si>
    <t>regata</t>
  </si>
  <si>
    <t>Bicicleta</t>
  </si>
  <si>
    <t>$D$6</t>
  </si>
  <si>
    <t>$E$6</t>
  </si>
  <si>
    <t>$F$6</t>
  </si>
  <si>
    <t>$G$6</t>
  </si>
  <si>
    <t>$H$6</t>
  </si>
  <si>
    <t>Criado por Daniel em 19/01/2026
Alterado por Daniel em 19/01/2026</t>
  </si>
  <si>
    <t>Criado por Daniel em 19/01/2026</t>
  </si>
  <si>
    <t>Resumo do cenário</t>
  </si>
  <si>
    <t>Células variáveis:</t>
  </si>
  <si>
    <t>Valores atuais:</t>
  </si>
  <si>
    <t>Células de resultado:</t>
  </si>
  <si>
    <t>Observações: A coluna Valores atuais representa os valores das células</t>
  </si>
  <si>
    <t>variáveis no momento em que o Relatório de Resumo do Cenário foi criado.</t>
  </si>
  <si>
    <t>As células variáveis para cada cenário estão destacadas em cinza.</t>
  </si>
  <si>
    <t>GERENCIADOR DE CENÁRIO</t>
  </si>
  <si>
    <t>RESUMO DE CENÁRIOS DO GERENCIADOR</t>
  </si>
  <si>
    <t>TABELA DE DADOS / SENSIBILIDADE</t>
  </si>
  <si>
    <t>AUDITORIA DE FÓRMULAS: precedentes e dependentes.</t>
  </si>
  <si>
    <t>receita</t>
  </si>
  <si>
    <t>Qual a receita total, testando todos os preços posssíveis</t>
  </si>
  <si>
    <t>referencial</t>
  </si>
  <si>
    <t>qtde</t>
  </si>
  <si>
    <t>fórmula</t>
  </si>
  <si>
    <t>FILTRO AVANÇADO</t>
  </si>
  <si>
    <t>SUBTOTAIS</t>
  </si>
  <si>
    <t>AGRUPAR</t>
  </si>
  <si>
    <t>ESQUERDA, DIREITA, EXT.TEXTO, LOCALIZAR, ARRUMAR)</t>
  </si>
  <si>
    <t>DATAS</t>
  </si>
  <si>
    <t>DATADIF</t>
  </si>
  <si>
    <t>FIMMES</t>
  </si>
  <si>
    <t>DIATRABALHOTOTAL:</t>
  </si>
  <si>
    <t>DIATRABALHO:</t>
  </si>
  <si>
    <t>TIME</t>
  </si>
  <si>
    <t>PAÍS</t>
  </si>
  <si>
    <t>CONTINENTE</t>
  </si>
  <si>
    <t>palmeiras</t>
  </si>
  <si>
    <t>corinthians</t>
  </si>
  <si>
    <t>são paulo</t>
  </si>
  <si>
    <t>santos</t>
  </si>
  <si>
    <t>barcelona</t>
  </si>
  <si>
    <t>real madrid</t>
  </si>
  <si>
    <t>city</t>
  </si>
  <si>
    <t>united</t>
  </si>
  <si>
    <t>spurs</t>
  </si>
  <si>
    <t>inter de milão</t>
  </si>
  <si>
    <t>milan</t>
  </si>
  <si>
    <t>brasil</t>
  </si>
  <si>
    <t>espanha</t>
  </si>
  <si>
    <t>inglaterra</t>
  </si>
  <si>
    <t>itália</t>
  </si>
  <si>
    <t>América do sul</t>
  </si>
  <si>
    <t>Europa</t>
  </si>
  <si>
    <t>kashima</t>
  </si>
  <si>
    <t>AL hilal</t>
  </si>
  <si>
    <t>japão</t>
  </si>
  <si>
    <t>arabia saudita</t>
  </si>
  <si>
    <t>Ásia</t>
  </si>
  <si>
    <t>Filtrar times do brasil e da américa do sul</t>
  </si>
  <si>
    <t>Boca junior</t>
  </si>
  <si>
    <t>Argentina</t>
  </si>
  <si>
    <t>river plate</t>
  </si>
  <si>
    <t>atlético nacional</t>
  </si>
  <si>
    <t>colombia</t>
  </si>
  <si>
    <t>preço_venda</t>
  </si>
  <si>
    <t>região</t>
  </si>
  <si>
    <t>leste</t>
  </si>
  <si>
    <t>oeste</t>
  </si>
  <si>
    <t>norte</t>
  </si>
  <si>
    <t>sul</t>
  </si>
  <si>
    <t>subTotalVenda</t>
  </si>
  <si>
    <t>DRE</t>
  </si>
  <si>
    <t>RECEITA OPERACIONAL BRUTA</t>
  </si>
  <si>
    <t>vendas de mercadorias</t>
  </si>
  <si>
    <t>serviços prestados</t>
  </si>
  <si>
    <t>(-) Deduções</t>
  </si>
  <si>
    <t>devolução de vendas</t>
  </si>
  <si>
    <t>IPI</t>
  </si>
  <si>
    <t>ICMS</t>
  </si>
  <si>
    <t>Abatimentos</t>
  </si>
  <si>
    <t>Custo de Serviço Prestado</t>
  </si>
  <si>
    <t>(=) Receita Operacional Líquida</t>
  </si>
  <si>
    <t>(-) Custo de mercadorias vendidas</t>
  </si>
  <si>
    <t>(=) Lucro Bruto</t>
  </si>
  <si>
    <t>(-) Despesas Operacionais</t>
  </si>
  <si>
    <t>Despesas com Vendas</t>
  </si>
  <si>
    <t>Despesas Financeiras</t>
  </si>
  <si>
    <t>(=) Lucro Operacional</t>
  </si>
  <si>
    <t>2026</t>
  </si>
  <si>
    <t>Despesas não Operacionais</t>
  </si>
  <si>
    <t>Receitas não operacionais</t>
  </si>
  <si>
    <t>(=) Lucro líquido antes do IR e da CS</t>
  </si>
  <si>
    <t>(-) Impsoto de renda e contribuição social</t>
  </si>
  <si>
    <t>(=) lucro o prejuízo do exercicio</t>
  </si>
  <si>
    <t>São paulo</t>
  </si>
  <si>
    <t>campinas</t>
  </si>
  <si>
    <t>rio de janeiro</t>
  </si>
  <si>
    <t>DDD</t>
  </si>
  <si>
    <t>local</t>
  </si>
  <si>
    <t>esquerda</t>
  </si>
  <si>
    <t>(11)1111144</t>
  </si>
  <si>
    <t>(19)2222255</t>
  </si>
  <si>
    <t>(21)3333366</t>
  </si>
  <si>
    <t>direita</t>
  </si>
  <si>
    <t>ABS</t>
  </si>
  <si>
    <t>TP19OESTE1010</t>
  </si>
  <si>
    <t>TP19LESTE1010</t>
  </si>
  <si>
    <t>TP19NORTE1010</t>
  </si>
  <si>
    <t>TP19SUL1010</t>
  </si>
  <si>
    <t>EXT.TEXTO</t>
  </si>
  <si>
    <t>8 devido a quantidade de caracteres que se deve descartar 4 no início e 4 no final</t>
  </si>
  <si>
    <t>12-SÃOPAULO</t>
  </si>
  <si>
    <t>33-RIODEJANEIRO</t>
  </si>
  <si>
    <t>44-SANTACATARINA</t>
  </si>
  <si>
    <t>55-BAHIA</t>
  </si>
  <si>
    <t>ORIGINAL</t>
  </si>
  <si>
    <t>SÃOPAULO</t>
  </si>
  <si>
    <t>RIODEJANEIRO</t>
  </si>
  <si>
    <t>SANTACATARINA</t>
  </si>
  <si>
    <t>BAHIA</t>
  </si>
  <si>
    <t>REMOVENDO DUPLICATAS</t>
  </si>
  <si>
    <t>texto para colunas SEPARADOS POR HÍFEN</t>
  </si>
  <si>
    <t>TEXTO PARA COLUNAS E REMOVER DUPLICATAS</t>
  </si>
  <si>
    <t>HOJE, DIA , MÊS, ANO, DATA, TEXTO</t>
  </si>
  <si>
    <t>HOJE</t>
  </si>
  <si>
    <t>DIA</t>
  </si>
  <si>
    <t>MêS</t>
  </si>
  <si>
    <t>ANO</t>
  </si>
  <si>
    <t>TEXTO</t>
  </si>
  <si>
    <t>ddd</t>
  </si>
  <si>
    <t>dddd</t>
  </si>
  <si>
    <t>mmm</t>
  </si>
  <si>
    <t>mmmm</t>
  </si>
  <si>
    <t>mmm-aa</t>
  </si>
  <si>
    <t>aaaa</t>
  </si>
  <si>
    <t>DIATRABALHOTOTAL</t>
  </si>
  <si>
    <t>INÍCIO</t>
  </si>
  <si>
    <t>FIM</t>
  </si>
  <si>
    <t>FERIADOS</t>
  </si>
  <si>
    <t>DIATRABALHO.INTL</t>
  </si>
  <si>
    <t>"-1"</t>
  </si>
  <si>
    <t>"+1"</t>
  </si>
  <si>
    <t>DATAM</t>
  </si>
  <si>
    <t>DATAM - VENCIMENTOS</t>
  </si>
  <si>
    <t>NUMSEMANA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</si>
</sst>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20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22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 applyAlignment="1">
      <alignment horizontal="center" vertical="center"/>
    </xf>
    <xf numFmtId="44" fontId="0" fillId="0" borderId="0" xfId="1" applyFont="1"/>
    <xf numFmtId="0" fontId="0" fillId="2" borderId="9" xfId="0" applyFill="1" applyBorder="1"/>
    <xf numFmtId="44" fontId="0" fillId="2" borderId="9" xfId="1" applyFont="1" applyFill="1" applyBorder="1"/>
    <xf numFmtId="44" fontId="0" fillId="2" borderId="9" xfId="0" applyNumberFormat="1" applyFill="1" applyBorder="1"/>
    <xf numFmtId="0" fontId="0" fillId="0" borderId="0" xfId="0" applyAlignment="1">
      <alignment horizontal="center"/>
    </xf>
    <xf numFmtId="0" fontId="3" fillId="6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2"/>
    <xf numFmtId="0" fontId="5" fillId="0" borderId="0" xfId="2" applyFont="1"/>
    <xf numFmtId="0" fontId="6" fillId="9" borderId="9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9" xfId="0" applyFill="1" applyBorder="1"/>
    <xf numFmtId="0" fontId="7" fillId="0" borderId="0" xfId="2" applyFont="1"/>
    <xf numFmtId="0" fontId="0" fillId="13" borderId="0" xfId="0" applyFill="1"/>
    <xf numFmtId="0" fontId="9" fillId="0" borderId="0" xfId="0" applyFont="1"/>
    <xf numFmtId="0" fontId="0" fillId="0" borderId="9" xfId="0" applyBorder="1"/>
    <xf numFmtId="0" fontId="0" fillId="13" borderId="9" xfId="0" applyFill="1" applyBorder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8" fillId="0" borderId="0" xfId="0" applyFont="1"/>
    <xf numFmtId="1" fontId="0" fillId="0" borderId="0" xfId="1" applyNumberFormat="1" applyFont="1"/>
    <xf numFmtId="0" fontId="8" fillId="0" borderId="0" xfId="0" applyFont="1" applyAlignment="1">
      <alignment horizontal="left" vertical="center" indent="1"/>
    </xf>
    <xf numFmtId="44" fontId="0" fillId="0" borderId="0" xfId="0" applyNumberFormat="1"/>
    <xf numFmtId="1" fontId="0" fillId="0" borderId="0" xfId="0" applyNumberFormat="1"/>
    <xf numFmtId="44" fontId="0" fillId="0" borderId="11" xfId="0" applyNumberFormat="1" applyBorder="1"/>
    <xf numFmtId="0" fontId="10" fillId="14" borderId="12" xfId="0" applyFont="1" applyFill="1" applyBorder="1" applyAlignment="1">
      <alignment horizontal="left"/>
    </xf>
    <xf numFmtId="0" fontId="10" fillId="14" borderId="10" xfId="0" applyFont="1" applyFill="1" applyBorder="1" applyAlignment="1">
      <alignment horizontal="left"/>
    </xf>
    <xf numFmtId="0" fontId="0" fillId="0" borderId="13" xfId="0" applyBorder="1"/>
    <xf numFmtId="0" fontId="11" fillId="15" borderId="0" xfId="0" applyFont="1" applyFill="1" applyAlignment="1">
      <alignment horizontal="left"/>
    </xf>
    <xf numFmtId="0" fontId="12" fillId="15" borderId="13" xfId="0" applyFont="1" applyFill="1" applyBorder="1" applyAlignment="1">
      <alignment horizontal="left"/>
    </xf>
    <xf numFmtId="0" fontId="11" fillId="15" borderId="11" xfId="0" applyFont="1" applyFill="1" applyBorder="1" applyAlignment="1">
      <alignment horizontal="left"/>
    </xf>
    <xf numFmtId="0" fontId="13" fillId="14" borderId="10" xfId="0" applyFont="1" applyFill="1" applyBorder="1" applyAlignment="1">
      <alignment horizontal="right"/>
    </xf>
    <xf numFmtId="0" fontId="13" fillId="14" borderId="12" xfId="0" applyFont="1" applyFill="1" applyBorder="1" applyAlignment="1">
      <alignment horizontal="right"/>
    </xf>
    <xf numFmtId="44" fontId="0" fillId="16" borderId="0" xfId="0" applyNumberFormat="1" applyFill="1"/>
    <xf numFmtId="1" fontId="0" fillId="16" borderId="0" xfId="0" applyNumberFormat="1" applyFill="1"/>
    <xf numFmtId="0" fontId="14" fillId="0" borderId="0" xfId="0" applyFont="1" applyAlignment="1">
      <alignment vertical="top" wrapText="1"/>
    </xf>
    <xf numFmtId="0" fontId="0" fillId="5" borderId="6" xfId="0" applyFill="1" applyBorder="1"/>
    <xf numFmtId="0" fontId="3" fillId="4" borderId="6" xfId="0" applyFont="1" applyFill="1" applyBorder="1"/>
    <xf numFmtId="44" fontId="0" fillId="0" borderId="9" xfId="1" applyFont="1" applyBorder="1" applyAlignment="1">
      <alignment horizontal="center"/>
    </xf>
    <xf numFmtId="0" fontId="0" fillId="17" borderId="0" xfId="0" applyFill="1" applyAlignment="1">
      <alignment horizontal="center"/>
    </xf>
    <xf numFmtId="44" fontId="0" fillId="17" borderId="9" xfId="0" applyNumberFormat="1" applyFill="1" applyBorder="1" applyAlignment="1">
      <alignment horizontal="center"/>
    </xf>
    <xf numFmtId="44" fontId="0" fillId="17" borderId="9" xfId="1" applyFont="1" applyFill="1" applyBorder="1" applyAlignment="1">
      <alignment horizontal="center"/>
    </xf>
    <xf numFmtId="0" fontId="3" fillId="4" borderId="5" xfId="0" applyFont="1" applyFill="1" applyBorder="1"/>
    <xf numFmtId="0" fontId="0" fillId="5" borderId="5" xfId="0" applyFill="1" applyBorder="1"/>
    <xf numFmtId="0" fontId="0" fillId="17" borderId="9" xfId="0" applyFill="1" applyBorder="1"/>
    <xf numFmtId="0" fontId="0" fillId="18" borderId="9" xfId="0" applyFill="1" applyBorder="1"/>
    <xf numFmtId="0" fontId="15" fillId="0" borderId="0" xfId="0" applyFont="1"/>
    <xf numFmtId="0" fontId="16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4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17" borderId="0" xfId="0" applyFont="1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17" fillId="0" borderId="0" xfId="2" applyFont="1"/>
  </cellXfs>
  <cellStyles count="3">
    <cellStyle name="Hiperlink" xfId="2" builtinId="8"/>
    <cellStyle name="Moeda" xfId="1" builtinId="4"/>
    <cellStyle name="Normal" xfId="0" builtinId="0"/>
  </cellStyles>
  <dxfs count="3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733425</xdr:colOff>
      <xdr:row>8</xdr:row>
      <xdr:rowOff>76200</xdr:rowOff>
    </xdr:from>
    <xdr:to>
      <xdr:col>5</xdr:col>
      <xdr:colOff>952786</xdr:colOff>
      <xdr:row>15</xdr:row>
      <xdr:rowOff>76386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897B79-4A87-D17A-F278-9AAACA04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1600200"/>
          <a:ext cx="2048161" cy="13336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Kaiel" id="{7B139360-A44B-430C-8D62-23DF2E63FE7D}" userId="a50fbad54e2b647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D7CB01-8293-4BD5-811B-83FAD050A71A}" name="Tabela10" displayName="Tabela10" ref="A1:B23" totalsRowShown="0" dataDxfId="33">
  <autoFilter ref="A1:B23" xr:uid="{97D7CB01-8293-4BD5-811B-83FAD050A71A}"/>
  <tableColumns count="2">
    <tableColumn id="1" xr3:uid="{30B94BDA-6A3B-4F78-971A-D54AD341BFD4}" name="DRE" dataDxfId="32"/>
    <tableColumn id="2" xr3:uid="{F20E9ED6-5749-474F-9BED-70111822D09C}" name="2026" dataDxfId="31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7E8C62-5165-411C-97C2-C8289270A4BD}" name="Tabela6" displayName="Tabela6" ref="A3:C13" totalsRowShown="0" headerRowDxfId="30" dataDxfId="29">
  <autoFilter ref="A3:C13" xr:uid="{557E8C62-5165-411C-97C2-C8289270A4BD}"/>
  <tableColumns count="3">
    <tableColumn id="1" xr3:uid="{A8058CDA-1702-4515-9555-01BA7B3CBA19}" name="produto" dataDxfId="28"/>
    <tableColumn id="2" xr3:uid="{45E1957D-89E2-4E96-8417-6954F290674E}" name="preço_venda" dataDxfId="27"/>
    <tableColumn id="3" xr3:uid="{6674E5DB-7AFE-44CF-B762-03CA50276B06}" name="região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C9EA4-2E0C-47BE-86AB-952F9A82500E}" name="Tabela9" displayName="Tabela9" ref="A1:C17" totalsRowShown="0">
  <tableColumns count="3">
    <tableColumn id="1" xr3:uid="{D1402A07-C3F3-426D-9FC6-FF963A14BF0C}" name="TIME"/>
    <tableColumn id="2" xr3:uid="{5DAC32B2-8ECE-4B0B-83A5-09285A53D247}" name="PAÍS"/>
    <tableColumn id="3" xr3:uid="{7F2BEE44-E860-4B81-8A59-98DD8C4FBC1E}" name="CONTIN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DBC5A4-2D89-4E48-9DE1-1F05F3C0096A}" name="Tabela79" displayName="Tabela79" ref="C5:H10" totalsRowShown="0">
  <autoFilter ref="C5:H10" xr:uid="{8CDBC5A4-2D89-4E48-9DE1-1F05F3C0096A}"/>
  <tableColumns count="6">
    <tableColumn id="1" xr3:uid="{0AD3E261-1E86-42D6-819D-3F631CFE738F}" name="produto"/>
    <tableColumn id="2" xr3:uid="{90D2D6CE-1E1B-422D-B140-7BEA8EB714C7}" name="preço de venda" dataCellStyle="Moeda"/>
    <tableColumn id="3" xr3:uid="{8F30C6D5-B6C2-406F-942A-224625988717}" name="custo" dataCellStyle="Moeda"/>
    <tableColumn id="4" xr3:uid="{4438B484-3FFE-45BB-A8FF-19411C079971}" name="quantidade vendida" dataDxfId="25" dataCellStyle="Moeda"/>
    <tableColumn id="5" xr3:uid="{732CB652-BDD6-4F88-AB85-941B780D8E06}" name="lucro" dataCellStyle="Moeda">
      <calculatedColumnFormula>(Tabela79[[#This Row],[preço de venda]]-Tabela79[[#This Row],[custo]])*Tabela79[[#This Row],[quantidade vendida]]</calculatedColumnFormula>
    </tableColumn>
    <tableColumn id="6" xr3:uid="{3F2D7A6E-73CD-4AE1-B665-46B518D2DF4F}" name="Faturamento" dataCellStyle="Moeda">
      <calculatedColumnFormula>Tabela79[[#This Row],[preço de venda]]*Tabela79[[#This Row],[quantidade vendida]]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BDA6B-D1B3-4201-89E9-EEC5AD80BB73}" name="Tabela7" displayName="Tabela7" ref="C4:G5" totalsRowShown="0">
  <autoFilter ref="C4:G5" xr:uid="{9B9BDA6B-D1B3-4201-89E9-EEC5AD80BB73}"/>
  <tableColumns count="5">
    <tableColumn id="1" xr3:uid="{8C763E5C-D043-4D31-95AC-27249B84774C}" name="produto"/>
    <tableColumn id="2" xr3:uid="{37795DF3-9AC2-44D4-AC44-324546DFE109}" name="preço de venda" dataCellStyle="Moeda"/>
    <tableColumn id="3" xr3:uid="{F37972F5-D232-400F-9B7D-91FA4A8322FD}" name="custo" dataCellStyle="Moeda"/>
    <tableColumn id="4" xr3:uid="{BFD97A9B-BC05-46DC-897A-7A96E3F6A417}" name="quantidade vendida" dataDxfId="24" dataCellStyle="Moeda"/>
    <tableColumn id="5" xr3:uid="{598555C5-9D44-4611-8252-5B8271F7BD5F}" name="lucro" dataCellStyle="Moeda">
      <calculatedColumnFormula>(Tabela7[[#This Row],[preço de venda]]-Tabela7[[#This Row],[custo]])*Tabela7[[#This Row],[quantidade vendida]]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2C4A35-7EA0-40CF-9530-59F4B640DBCE}" name="Tabela4" displayName="Tabela4" ref="D2:G8" totalsRowShown="0" headerRowDxfId="23" dataDxfId="22">
  <autoFilter ref="D2:G8" xr:uid="{F62C4A35-7EA0-40CF-9530-59F4B640DBCE}"/>
  <tableColumns count="4">
    <tableColumn id="1" xr3:uid="{2890126F-91FE-485A-A5EC-17F63BF0299C}" name="VENDA" dataDxfId="21"/>
    <tableColumn id="2" xr3:uid="{2628D0CC-2F36-4939-ADB8-CA46C946DDE0}" name="PRODUTO" dataDxfId="20"/>
    <tableColumn id="3" xr3:uid="{C63E510A-718E-4683-BFEF-FE6E86C653C0}" name="SEGMENTO_CLIENTE" dataDxfId="19"/>
    <tableColumn id="5" xr3:uid="{181B3828-BC45-4135-92B0-3F5F6D677C19}" name="Valor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7D3BD-2995-4DFC-8CB8-462E5BFAF8A1}" name="Tabela1" displayName="Tabela1" ref="B2:D11" totalsRowShown="0" headerRowDxfId="17" dataDxfId="16">
  <autoFilter ref="B2:D11" xr:uid="{34A7D3BD-2995-4DFC-8CB8-462E5BFAF8A1}"/>
  <tableColumns count="3">
    <tableColumn id="1" xr3:uid="{1AE97A66-42F1-41E7-9C1E-A1B75DA5032C}" name="nome" dataDxfId="15"/>
    <tableColumn id="2" xr3:uid="{41AD6E0E-0FB2-4D5F-ABD1-AA7CA5BF42B2}" name="idade" dataDxfId="14"/>
    <tableColumn id="3" xr3:uid="{99C9240A-081C-467A-AAA2-2CD851723B57}" name="Cidade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610A7D-C30E-485A-9F76-B9253635BF44}" name="Tabela2" displayName="Tabela2" ref="B2:D7" totalsRowShown="0">
  <autoFilter ref="B2:D7" xr:uid="{31610A7D-C30E-485A-9F76-B9253635BF44}"/>
  <tableColumns count="3">
    <tableColumn id="1" xr3:uid="{8933DD84-E941-44CD-8301-269FF5B8AA02}" name="PRODUTO"/>
    <tableColumn id="2" xr3:uid="{AE6FD481-3AFC-4B61-B16C-7AC5A67C34DF}" name="PREÇO" dataCellStyle="Moeda"/>
    <tableColumn id="3" xr3:uid="{00C220F2-A5A8-4058-9FCF-A2EA7BEB2544}" name="CATEGOR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A9E977-E3D2-478E-8BB5-2DCDF7F9DF5A}" name="Tabela3" displayName="Tabela3" ref="F2:H8" totalsRowShown="0" headerRowDxfId="12" dataDxfId="11">
  <autoFilter ref="F2:H8" xr:uid="{79A9E977-E3D2-478E-8BB5-2DCDF7F9DF5A}"/>
  <tableColumns count="3">
    <tableColumn id="1" xr3:uid="{0C85BF44-38C7-4011-84D2-9D928A1EACF0}" name="Id_venda" dataDxfId="10"/>
    <tableColumn id="2" xr3:uid="{EF4CB0CA-BF32-4105-A26E-5567062E0EA0}" name="produto" dataDxfId="9"/>
    <tableColumn id="3" xr3:uid="{833344EC-C009-43FF-B064-DDB138C356F2}" name="preço" dataDxfId="8">
      <calculatedColumnFormula>IFERROR(VLOOKUP(Tabela3[[#This Row],[produto]],Tabela2[],2,0),"produto não encontrado")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93968B-65F5-4101-B537-DC519FE923F0}" name="Tabela5" displayName="Tabela5" ref="M4:O9" totalsRowCount="1" headerRowDxfId="7" dataDxfId="6">
  <autoFilter ref="M4:O8" xr:uid="{A693968B-65F5-4101-B537-DC519FE923F0}"/>
  <tableColumns count="3">
    <tableColumn id="1" xr3:uid="{6BB1B0B0-7827-488B-9E03-F01EF7FCC4CF}" name="V1" dataDxfId="5" totalsRowDxfId="4"/>
    <tableColumn id="2" xr3:uid="{ACCFA2D8-D01A-4180-99FD-7DCB05AA4E6D}" name="V2" dataDxfId="3" totalsRowDxfId="2"/>
    <tableColumn id="3" xr3:uid="{1410DAD7-A7F4-41E7-AF99-FA6901DD1AF8}" name="V3" totalsRowFunction="custom" dataDxfId="1" totalsRowDxfId="0">
      <calculatedColumnFormula>Tabela5[[#This Row],[V1]]*Tabela5[[#This Row],[V2]]</calculatedColumnFormula>
      <totalsRowFormula>SUM(Tabela5[V3])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10-13T16:54:21.97" personId="{7B139360-A44B-430C-8D62-23DF2E63FE7D}" id="{E43F98F5-940B-4F67-97EF-2A540B26C4C5}">
    <text>1+2</text>
  </threadedComment>
  <threadedComment ref="H2" dT="2025-10-13T16:54:38.65" personId="{7B139360-A44B-430C-8D62-23DF2E63FE7D}" id="{0E44F75F-150B-40D9-9CF4-02B7D5F7ECE7}">
    <text xml:space="preserve">2+3
</text>
  </threadedComment>
  <threadedComment ref="J2" dT="2025-10-13T16:55:04.15" personId="{7B139360-A44B-430C-8D62-23DF2E63FE7D}" id="{7C1AB278-2F5C-4F74-BC9B-9347831D7BD1}">
    <text xml:space="preserve">1+2
</text>
  </threadedComment>
  <threadedComment ref="G3" dT="2025-10-13T16:54:51.30" personId="{7B139360-A44B-430C-8D62-23DF2E63FE7D}" id="{9FC55501-EB11-4913-B8D7-98ED5BB5AAA5}">
    <text>6+7</text>
  </threadedComment>
  <threadedComment ref="H6" dT="2025-10-13T16:57:24.87" personId="{7B139360-A44B-430C-8D62-23DF2E63FE7D}" id="{923D7940-0F5C-4637-A767-0B9798F89BB9}">
    <text>1+3</text>
  </threadedComment>
  <threadedComment ref="G7" dT="2025-10-13T16:58:12.62" personId="{7B139360-A44B-430C-8D62-23DF2E63FE7D}" id="{D1057670-6313-4F77-8109-545D0134B1D7}">
    <text>1+7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91AA-DEE5-454B-9EFC-7B37B2BD75A5}">
  <dimension ref="B3:D27"/>
  <sheetViews>
    <sheetView tabSelected="1" topLeftCell="A9" workbookViewId="0">
      <selection activeCell="B23" sqref="B23"/>
    </sheetView>
  </sheetViews>
  <sheetFormatPr defaultRowHeight="15" x14ac:dyDescent="0.25"/>
  <cols>
    <col min="2" max="2" width="50.140625" bestFit="1" customWidth="1"/>
    <col min="3" max="3" width="49.85546875" bestFit="1" customWidth="1"/>
    <col min="4" max="4" width="57.5703125" bestFit="1" customWidth="1"/>
  </cols>
  <sheetData>
    <row r="3" spans="2:4" ht="21" x14ac:dyDescent="0.35">
      <c r="B3" s="39" t="s">
        <v>108</v>
      </c>
      <c r="C3" s="39" t="s">
        <v>109</v>
      </c>
      <c r="D3" s="39" t="s">
        <v>110</v>
      </c>
    </row>
    <row r="4" spans="2:4" x14ac:dyDescent="0.25">
      <c r="B4" s="25" t="s">
        <v>39</v>
      </c>
      <c r="C4" s="25" t="s">
        <v>134</v>
      </c>
      <c r="D4" t="s">
        <v>111</v>
      </c>
    </row>
    <row r="5" spans="2:4" x14ac:dyDescent="0.25">
      <c r="B5" s="25" t="s">
        <v>74</v>
      </c>
      <c r="C5" s="25" t="s">
        <v>156</v>
      </c>
      <c r="D5" s="25" t="s">
        <v>125</v>
      </c>
    </row>
    <row r="6" spans="2:4" x14ac:dyDescent="0.25">
      <c r="B6" s="25" t="s">
        <v>75</v>
      </c>
      <c r="C6" s="25" t="s">
        <v>157</v>
      </c>
    </row>
    <row r="7" spans="2:4" x14ac:dyDescent="0.25">
      <c r="B7" s="25" t="s">
        <v>37</v>
      </c>
      <c r="C7" s="25" t="s">
        <v>158</v>
      </c>
    </row>
    <row r="8" spans="2:4" x14ac:dyDescent="0.25">
      <c r="B8" s="25" t="s">
        <v>84</v>
      </c>
      <c r="C8" s="25" t="s">
        <v>159</v>
      </c>
    </row>
    <row r="9" spans="2:4" x14ac:dyDescent="0.25">
      <c r="B9" s="25" t="s">
        <v>97</v>
      </c>
    </row>
    <row r="10" spans="2:4" x14ac:dyDescent="0.25">
      <c r="B10" s="25" t="s">
        <v>98</v>
      </c>
    </row>
    <row r="11" spans="2:4" x14ac:dyDescent="0.25">
      <c r="B11" s="25" t="s">
        <v>99</v>
      </c>
    </row>
    <row r="12" spans="2:4" x14ac:dyDescent="0.25">
      <c r="B12" s="25" t="s">
        <v>101</v>
      </c>
    </row>
    <row r="13" spans="2:4" x14ac:dyDescent="0.25">
      <c r="B13" s="25" t="s">
        <v>100</v>
      </c>
    </row>
    <row r="14" spans="2:4" x14ac:dyDescent="0.25">
      <c r="B14" s="25" t="s">
        <v>165</v>
      </c>
    </row>
    <row r="15" spans="2:4" x14ac:dyDescent="0.25">
      <c r="B15" s="25" t="s">
        <v>166</v>
      </c>
    </row>
    <row r="16" spans="2:4" x14ac:dyDescent="0.25">
      <c r="B16" s="25" t="s">
        <v>167</v>
      </c>
    </row>
    <row r="17" spans="2:2" x14ac:dyDescent="0.25">
      <c r="B17" s="25" t="s">
        <v>168</v>
      </c>
    </row>
    <row r="18" spans="2:2" x14ac:dyDescent="0.25">
      <c r="B18" s="25" t="s">
        <v>263</v>
      </c>
    </row>
    <row r="21" spans="2:2" ht="28.5" x14ac:dyDescent="0.45">
      <c r="B21" s="86" t="s">
        <v>169</v>
      </c>
    </row>
    <row r="22" spans="2:2" x14ac:dyDescent="0.25">
      <c r="B22" t="s">
        <v>170</v>
      </c>
    </row>
    <row r="23" spans="2:2" x14ac:dyDescent="0.25">
      <c r="B23" t="s">
        <v>171</v>
      </c>
    </row>
    <row r="24" spans="2:2" x14ac:dyDescent="0.25">
      <c r="B24" t="s">
        <v>172</v>
      </c>
    </row>
    <row r="25" spans="2:2" x14ac:dyDescent="0.25">
      <c r="B25" t="s">
        <v>173</v>
      </c>
    </row>
    <row r="26" spans="2:2" x14ac:dyDescent="0.25">
      <c r="B26" t="s">
        <v>264</v>
      </c>
    </row>
    <row r="27" spans="2:2" x14ac:dyDescent="0.25">
      <c r="B27" t="s">
        <v>283</v>
      </c>
    </row>
  </sheetData>
  <hyperlinks>
    <hyperlink ref="B4" location="'e, se, ou, não'!A1" display="E, SE, OU, NÃO" xr:uid="{4484512C-A0F8-4143-B47D-CCCBF1C021A6}"/>
    <hyperlink ref="B5" location="SEERRO!A1" display="SEERRO" xr:uid="{CC9F3FDB-B483-4D73-81D2-B09D5EDBFDB2}"/>
    <hyperlink ref="B6" location="'CONT,SOMA,MEDIA'!A1" display="CONT.SE, SOMA.SE, MEDIA.SE" xr:uid="{0578322C-9EAE-4459-B24A-1E8B2CF45004}"/>
    <hyperlink ref="B7" location="SOMARPRODUTO!A1" display="SOMARPRODUTO" xr:uid="{BF66AAEC-A7D2-4939-AC13-BCFA0F8F7107}"/>
    <hyperlink ref="B8" location="REFERÊNCIAS!A1" display="REFERêNCIAS RELATIVAS, ABSOLUTAS E MISTAS" xr:uid="{F7524DDF-804C-4C92-BE85-EC1D416F1982}"/>
    <hyperlink ref="B9" location="'PROCV H + IND+CORRESP'!A1" display="PROC V E PROCH" xr:uid="{79F8106A-989B-49EF-84DF-D00F62A74765}"/>
    <hyperlink ref="B10" location="DESLOC!A1" display="DESLOC" xr:uid="{A8772172-3E86-49B1-BA82-19E2F719A230}"/>
    <hyperlink ref="B11" location="TRANSPOR!A1" display="TRANSPOR" xr:uid="{9C24E304-7FE9-4A78-A592-434AA3721624}"/>
    <hyperlink ref="B12" location="'FUNÇÃO MATRIZ'!A1" display="FÓRMULAS MATRIZ" xr:uid="{230100E6-EBC7-4B23-A283-9AE7CC2BB40D}"/>
    <hyperlink ref="B13" location="INDIRETO!A1" display="INDIRETO" xr:uid="{23BF9AE6-8C25-4679-9214-9BCE1D78A1C8}"/>
    <hyperlink ref="D5" location="Lista_Suspensa!A1" display="Listas suspensas" xr:uid="{DB5056D4-4EB6-4F04-A2F1-7A993116E241}"/>
    <hyperlink ref="C4" location="'Atingir meta'!A1" display="ATINGIR META" xr:uid="{2FF90780-26D7-4352-9689-9C1FC6B66499}"/>
    <hyperlink ref="C5" location="'Gerenciar cenário'!A1" display="GERENCIADOR DE CENÁRIO" xr:uid="{1C7AD682-ADD6-4479-ADCA-E30768A716E1}"/>
    <hyperlink ref="C6" location="'Resumo do cenário'!A1" display="RESUMO DE CENÁRIOS DO GERENCIADOR" xr:uid="{761FDC7A-BF08-46A4-A2DC-2A43226EE6E3}"/>
    <hyperlink ref="C7" location="Sensibilidade!A1" display="TABELA DE DADOS / SENSIBILIDADE" xr:uid="{E106B555-C742-4E27-8A3C-3EC90D0179D9}"/>
    <hyperlink ref="C8" location="'Auditoria de fórmulas'!A1" display="AUDITORIA DE FÓRMULAS: precedentes e dependentes." xr:uid="{E98033CF-2EB6-4650-AE67-21CC2884CB96}"/>
    <hyperlink ref="B14" location="'FILTRO AVANÇADO'!A1" display="FILTRO AVANÇADO" xr:uid="{E2799706-0F03-4A09-AF74-9FAB3CEBC274}"/>
    <hyperlink ref="B15" location="SUBTOTAL!A1" display="SUBTOTAIS" xr:uid="{43AD217E-1370-4555-80D6-0F8F67324C30}"/>
    <hyperlink ref="B16" location="AGRUPAR!A1" display="AGRUPAR" xr:uid="{A8B4F5C7-7D6D-4270-9BB4-6F6A5BCF56A3}"/>
    <hyperlink ref="B17" location="'ESQUERDA, DIREITA'!A1" display="ESQUERDA, DIREITA, EXT.TEXTO, LOCALIZAR, ARRUMAR)" xr:uid="{834A267D-C318-47FB-820F-3F6AF300DF05}"/>
    <hyperlink ref="B18" location="'REMOVER DUPLICATAS E TXT PARA C'!A1" display="TEXTO PARA COLUNAS E REMOVER DUPLICATAS" xr:uid="{1557B763-0222-4422-831A-27204984D47D}"/>
    <hyperlink ref="B21" location="'DATAS, TEXTO'!A1" display="DATAS" xr:uid="{2F0D51EF-4711-4D3E-A0FD-4EC7C3B5B65B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8576-2AAF-4620-9EA9-C6B040A9DE07}">
  <dimension ref="A1:J19"/>
  <sheetViews>
    <sheetView workbookViewId="0">
      <selection activeCell="E19" sqref="E19"/>
    </sheetView>
  </sheetViews>
  <sheetFormatPr defaultRowHeight="15" x14ac:dyDescent="0.25"/>
  <cols>
    <col min="1" max="1" width="18.85546875" style="22" bestFit="1" customWidth="1"/>
    <col min="2" max="2" width="34.140625" style="22" bestFit="1" customWidth="1"/>
    <col min="3" max="3" width="11.42578125" style="22" bestFit="1" customWidth="1"/>
    <col min="4" max="4" width="9.140625" style="22"/>
    <col min="5" max="5" width="21.85546875" style="22" bestFit="1" customWidth="1"/>
    <col min="6" max="6" width="12.5703125" style="22" bestFit="1" customWidth="1"/>
    <col min="7" max="10" width="10.42578125" style="22" bestFit="1" customWidth="1"/>
    <col min="11" max="16384" width="9.140625" style="22"/>
  </cols>
  <sheetData>
    <row r="1" spans="1:10" x14ac:dyDescent="0.25">
      <c r="B1" s="24" t="s">
        <v>265</v>
      </c>
      <c r="C1" s="24" t="s">
        <v>266</v>
      </c>
      <c r="D1" s="24" t="s">
        <v>267</v>
      </c>
      <c r="E1" s="24" t="s">
        <v>268</v>
      </c>
      <c r="F1" s="24" t="s">
        <v>285</v>
      </c>
    </row>
    <row r="2" spans="1:10" x14ac:dyDescent="0.25">
      <c r="B2" s="83">
        <f ca="1">TODAY()</f>
        <v>46044</v>
      </c>
      <c r="C2" s="24">
        <f ca="1">DAY(B2)</f>
        <v>22</v>
      </c>
      <c r="D2" s="24">
        <f ca="1">MONTH(B2)</f>
        <v>1</v>
      </c>
      <c r="E2" s="24">
        <f ca="1">YEAR(B2)</f>
        <v>2026</v>
      </c>
      <c r="F2" s="24">
        <f>WEEKNUM(A2, 2)</f>
        <v>1</v>
      </c>
    </row>
    <row r="4" spans="1:10" x14ac:dyDescent="0.25">
      <c r="A4" s="24" t="s">
        <v>269</v>
      </c>
      <c r="B4" s="24" t="s">
        <v>270</v>
      </c>
      <c r="C4" s="24" t="s">
        <v>271</v>
      </c>
      <c r="D4" s="24" t="s">
        <v>272</v>
      </c>
      <c r="E4" s="24" t="s">
        <v>273</v>
      </c>
      <c r="F4" s="24" t="s">
        <v>274</v>
      </c>
      <c r="G4" s="24" t="s">
        <v>275</v>
      </c>
    </row>
    <row r="5" spans="1:10" x14ac:dyDescent="0.25">
      <c r="A5" s="24"/>
      <c r="B5" s="24" t="str">
        <f ca="1">TEXT(B2,"ddd")</f>
        <v>qui</v>
      </c>
      <c r="C5" s="24" t="str">
        <f ca="1">TEXT(B2,"dddd")</f>
        <v>quinta-feira</v>
      </c>
      <c r="D5" s="24" t="str">
        <f ca="1">TEXT(B2,"mmm")</f>
        <v>jan</v>
      </c>
      <c r="E5" s="24" t="str">
        <f ca="1">TEXT(B2,"mmmm")</f>
        <v>janeiro</v>
      </c>
      <c r="F5" s="24" t="str">
        <f ca="1">TEXT(B2,"mmm-aa")</f>
        <v>jan-26</v>
      </c>
      <c r="G5" s="24" t="str">
        <f ca="1">TEXT(B2,"aaaa")</f>
        <v>2026</v>
      </c>
    </row>
    <row r="7" spans="1:10" x14ac:dyDescent="0.25">
      <c r="A7" s="24" t="s">
        <v>276</v>
      </c>
      <c r="B7" s="24" t="s">
        <v>277</v>
      </c>
      <c r="C7" s="24" t="s">
        <v>278</v>
      </c>
      <c r="E7" s="24" t="s">
        <v>279</v>
      </c>
    </row>
    <row r="8" spans="1:10" x14ac:dyDescent="0.25">
      <c r="A8" s="84">
        <f>NETWORKDAYS(B8,C8,E8:E9)</f>
        <v>21</v>
      </c>
      <c r="B8" s="83">
        <v>46023</v>
      </c>
      <c r="C8" s="83">
        <v>46052</v>
      </c>
      <c r="E8" s="83">
        <v>46023</v>
      </c>
    </row>
    <row r="9" spans="1:10" x14ac:dyDescent="0.25">
      <c r="A9" s="24"/>
      <c r="B9" s="24"/>
      <c r="C9" s="24"/>
      <c r="E9" s="83">
        <v>46047</v>
      </c>
    </row>
    <row r="10" spans="1:10" x14ac:dyDescent="0.25">
      <c r="A10" s="24" t="s">
        <v>280</v>
      </c>
      <c r="B10" s="24"/>
      <c r="C10" s="24"/>
    </row>
    <row r="11" spans="1:10" x14ac:dyDescent="0.25">
      <c r="A11" s="24">
        <f>NETWORKDAYS.INTL(B8,C8,11,E8:E9)</f>
        <v>25</v>
      </c>
      <c r="B11" s="24"/>
      <c r="C11" s="24"/>
    </row>
    <row r="14" spans="1:10" x14ac:dyDescent="0.25">
      <c r="A14" s="24" t="s">
        <v>171</v>
      </c>
      <c r="B14" s="85">
        <f ca="1">EOMONTH(B2,0)</f>
        <v>46053</v>
      </c>
      <c r="C14" s="22">
        <v>0</v>
      </c>
      <c r="E14" s="24" t="s">
        <v>284</v>
      </c>
      <c r="F14" s="24">
        <v>1</v>
      </c>
      <c r="G14" s="24">
        <v>2</v>
      </c>
      <c r="H14" s="24">
        <v>3</v>
      </c>
      <c r="I14" s="24">
        <v>4</v>
      </c>
      <c r="J14" s="24">
        <v>5</v>
      </c>
    </row>
    <row r="15" spans="1:10" x14ac:dyDescent="0.25">
      <c r="A15" s="24"/>
      <c r="B15" s="85">
        <f ca="1">EOMONTH(B2,1)</f>
        <v>46081</v>
      </c>
      <c r="C15" s="22">
        <v>1</v>
      </c>
      <c r="E15" s="83">
        <v>46024</v>
      </c>
      <c r="F15" s="83">
        <f>EDATE($E$15,1)</f>
        <v>46055</v>
      </c>
      <c r="G15" s="83">
        <f>EDATE($E$15,2)</f>
        <v>46083</v>
      </c>
      <c r="H15" s="83">
        <f>EDATE($E$15,3)</f>
        <v>46114</v>
      </c>
      <c r="I15" s="83">
        <f>EDATE($E$15,4)</f>
        <v>46144</v>
      </c>
      <c r="J15" s="83">
        <f>EDATE($E$15,J14)</f>
        <v>46175</v>
      </c>
    </row>
    <row r="16" spans="1:10" x14ac:dyDescent="0.25">
      <c r="A16" s="24"/>
      <c r="B16" s="85">
        <f ca="1">EOMONTH(B2,-1)</f>
        <v>46022</v>
      </c>
      <c r="C16" s="22" t="s">
        <v>281</v>
      </c>
    </row>
    <row r="17" spans="2:5" x14ac:dyDescent="0.25">
      <c r="B17" s="85">
        <f ca="1">EOMONTH(B2,0)+1</f>
        <v>46054</v>
      </c>
      <c r="C17" s="22" t="s">
        <v>282</v>
      </c>
    </row>
    <row r="19" spans="2:5" ht="26.25" x14ac:dyDescent="0.4">
      <c r="E19" s="37" t="s">
        <v>58</v>
      </c>
    </row>
  </sheetData>
  <hyperlinks>
    <hyperlink ref="E19" location="MENU!A1" display="VOLTAR AO MENU" xr:uid="{222F1B7D-420B-4153-A955-85C5F84ACEF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6A4F-8D2A-40F1-AB64-C2CD7D9D6731}">
  <dimension ref="G3:N13"/>
  <sheetViews>
    <sheetView topLeftCell="F1" zoomScale="140" zoomScaleNormal="140" workbookViewId="0">
      <selection activeCell="K13" sqref="K13"/>
    </sheetView>
  </sheetViews>
  <sheetFormatPr defaultRowHeight="15" x14ac:dyDescent="0.25"/>
  <cols>
    <col min="7" max="7" width="15.5703125" bestFit="1" customWidth="1"/>
    <col min="8" max="8" width="10.28515625" bestFit="1" customWidth="1"/>
    <col min="11" max="11" width="12.7109375" bestFit="1" customWidth="1"/>
    <col min="14" max="14" width="12.7109375" bestFit="1" customWidth="1"/>
  </cols>
  <sheetData>
    <row r="3" spans="7:14" x14ac:dyDescent="0.25">
      <c r="G3" s="40"/>
      <c r="H3" s="40" t="s">
        <v>240</v>
      </c>
      <c r="I3" s="40" t="s">
        <v>244</v>
      </c>
      <c r="J3" s="40" t="s">
        <v>245</v>
      </c>
      <c r="K3" s="40" t="s">
        <v>95</v>
      </c>
      <c r="M3" s="40" t="s">
        <v>238</v>
      </c>
      <c r="N3" s="40" t="s">
        <v>239</v>
      </c>
    </row>
    <row r="4" spans="7:14" x14ac:dyDescent="0.25">
      <c r="G4" s="40" t="s">
        <v>241</v>
      </c>
      <c r="H4" s="40" t="str">
        <f>LEFT(G4,4)</f>
        <v>(11)</v>
      </c>
      <c r="I4" s="40" t="str">
        <f>RIGHT(G4,2)</f>
        <v>44</v>
      </c>
      <c r="J4" s="40">
        <f>ABS(H4)</f>
        <v>11</v>
      </c>
      <c r="K4" s="40" t="str">
        <f>VLOOKUP(J4,M4:N6,2,0)</f>
        <v>São paulo</v>
      </c>
      <c r="M4" s="40">
        <v>11</v>
      </c>
      <c r="N4" s="40" t="s">
        <v>235</v>
      </c>
    </row>
    <row r="5" spans="7:14" x14ac:dyDescent="0.25">
      <c r="G5" s="40" t="s">
        <v>242</v>
      </c>
      <c r="H5" s="40" t="str">
        <f t="shared" ref="H5:H6" si="0">LEFT(G5,4)</f>
        <v>(19)</v>
      </c>
      <c r="I5" s="40" t="str">
        <f t="shared" ref="I5:I6" si="1">RIGHT(G5,2)</f>
        <v>55</v>
      </c>
      <c r="J5" s="40">
        <f t="shared" ref="J5:J6" si="2">ABS(H5)</f>
        <v>19</v>
      </c>
      <c r="K5" s="40" t="str">
        <f>VLOOKUP(J5,M5:N8,2,0)</f>
        <v>campinas</v>
      </c>
      <c r="M5" s="40">
        <v>19</v>
      </c>
      <c r="N5" s="40" t="s">
        <v>236</v>
      </c>
    </row>
    <row r="6" spans="7:14" x14ac:dyDescent="0.25">
      <c r="G6" s="40" t="s">
        <v>243</v>
      </c>
      <c r="H6" s="40" t="str">
        <f t="shared" si="0"/>
        <v>(21)</v>
      </c>
      <c r="I6" s="40" t="str">
        <f t="shared" si="1"/>
        <v>66</v>
      </c>
      <c r="J6" s="40">
        <f t="shared" si="2"/>
        <v>21</v>
      </c>
      <c r="K6" s="40" t="str">
        <f>VLOOKUP(J6,M6:N9,2,0)</f>
        <v>rio de janeiro</v>
      </c>
      <c r="M6" s="40">
        <v>21</v>
      </c>
      <c r="N6" s="40" t="s">
        <v>237</v>
      </c>
    </row>
    <row r="8" spans="7:14" x14ac:dyDescent="0.25">
      <c r="G8" s="40"/>
      <c r="H8" s="40" t="s">
        <v>250</v>
      </c>
    </row>
    <row r="9" spans="7:14" x14ac:dyDescent="0.25">
      <c r="G9" s="40" t="s">
        <v>246</v>
      </c>
      <c r="H9" s="40" t="str">
        <f>MID(G9,5,LEN(G9)-8)</f>
        <v>OESTE</v>
      </c>
      <c r="I9" t="s">
        <v>251</v>
      </c>
    </row>
    <row r="10" spans="7:14" x14ac:dyDescent="0.25">
      <c r="G10" s="40" t="s">
        <v>247</v>
      </c>
      <c r="H10" s="40" t="str">
        <f t="shared" ref="H10:H12" si="3">MID(G10,5,LEN(G10)-8)</f>
        <v>LESTE</v>
      </c>
    </row>
    <row r="11" spans="7:14" x14ac:dyDescent="0.25">
      <c r="G11" s="40" t="s">
        <v>248</v>
      </c>
      <c r="H11" s="40" t="str">
        <f t="shared" si="3"/>
        <v>NORTE</v>
      </c>
    </row>
    <row r="12" spans="7:14" x14ac:dyDescent="0.25">
      <c r="G12" s="40" t="s">
        <v>249</v>
      </c>
      <c r="H12" s="40" t="str">
        <f t="shared" si="3"/>
        <v>SUL</v>
      </c>
    </row>
    <row r="13" spans="7:14" ht="26.25" x14ac:dyDescent="0.4">
      <c r="K13" s="37" t="s">
        <v>58</v>
      </c>
    </row>
  </sheetData>
  <phoneticPr fontId="1" type="noConversion"/>
  <hyperlinks>
    <hyperlink ref="K13" location="MENU!A1" display="VOLTAR AO MENU" xr:uid="{3C79FF36-6DD7-4C05-A01C-F113999A5977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6DEE-1846-4A21-BA45-A042FFB4185C}">
  <dimension ref="A2:F12"/>
  <sheetViews>
    <sheetView workbookViewId="0">
      <selection activeCell="F12" sqref="F12"/>
    </sheetView>
  </sheetViews>
  <sheetFormatPr defaultRowHeight="15" x14ac:dyDescent="0.25"/>
  <cols>
    <col min="1" max="1" width="17.7109375" bestFit="1" customWidth="1"/>
    <col min="2" max="2" width="5.140625" customWidth="1"/>
    <col min="3" max="3" width="17.5703125" bestFit="1" customWidth="1"/>
    <col min="4" max="4" width="22.42578125" customWidth="1"/>
    <col min="6" max="6" width="23.85546875" bestFit="1" customWidth="1"/>
  </cols>
  <sheetData>
    <row r="2" spans="1:6" x14ac:dyDescent="0.25">
      <c r="A2" s="40" t="s">
        <v>256</v>
      </c>
      <c r="C2" s="76" t="s">
        <v>262</v>
      </c>
      <c r="D2" s="76"/>
      <c r="F2" s="40" t="s">
        <v>261</v>
      </c>
    </row>
    <row r="3" spans="1:6" x14ac:dyDescent="0.25">
      <c r="A3" s="40" t="s">
        <v>252</v>
      </c>
      <c r="C3" s="40">
        <v>12</v>
      </c>
      <c r="D3" s="40" t="s">
        <v>257</v>
      </c>
      <c r="F3" s="40" t="s">
        <v>252</v>
      </c>
    </row>
    <row r="4" spans="1:6" x14ac:dyDescent="0.25">
      <c r="A4" s="40" t="s">
        <v>253</v>
      </c>
      <c r="C4" s="40">
        <v>33</v>
      </c>
      <c r="D4" s="40" t="s">
        <v>258</v>
      </c>
      <c r="F4" s="40" t="s">
        <v>253</v>
      </c>
    </row>
    <row r="5" spans="1:6" x14ac:dyDescent="0.25">
      <c r="A5" s="40" t="s">
        <v>254</v>
      </c>
      <c r="C5" s="40">
        <v>44</v>
      </c>
      <c r="D5" s="40" t="s">
        <v>259</v>
      </c>
      <c r="F5" s="40" t="s">
        <v>254</v>
      </c>
    </row>
    <row r="6" spans="1:6" x14ac:dyDescent="0.25">
      <c r="A6" s="40" t="s">
        <v>255</v>
      </c>
      <c r="C6" s="40">
        <v>55</v>
      </c>
      <c r="D6" s="40" t="s">
        <v>260</v>
      </c>
      <c r="F6" s="40" t="s">
        <v>255</v>
      </c>
    </row>
    <row r="7" spans="1:6" x14ac:dyDescent="0.25">
      <c r="A7" s="40" t="s">
        <v>253</v>
      </c>
      <c r="C7" s="40">
        <v>33</v>
      </c>
      <c r="D7" s="40" t="s">
        <v>258</v>
      </c>
    </row>
    <row r="8" spans="1:6" x14ac:dyDescent="0.25">
      <c r="A8" s="40" t="s">
        <v>254</v>
      </c>
      <c r="C8" s="40">
        <v>44</v>
      </c>
      <c r="D8" s="40" t="s">
        <v>259</v>
      </c>
    </row>
    <row r="9" spans="1:6" x14ac:dyDescent="0.25">
      <c r="A9" s="40" t="s">
        <v>253</v>
      </c>
      <c r="C9" s="40">
        <v>33</v>
      </c>
      <c r="D9" s="40" t="s">
        <v>258</v>
      </c>
    </row>
    <row r="10" spans="1:6" x14ac:dyDescent="0.25">
      <c r="A10" s="40" t="s">
        <v>254</v>
      </c>
      <c r="C10" s="75">
        <v>44</v>
      </c>
      <c r="D10" s="40" t="s">
        <v>259</v>
      </c>
    </row>
    <row r="12" spans="1:6" ht="26.25" x14ac:dyDescent="0.4">
      <c r="F12" s="37" t="s">
        <v>58</v>
      </c>
    </row>
  </sheetData>
  <mergeCells count="1">
    <mergeCell ref="C2:D2"/>
  </mergeCells>
  <hyperlinks>
    <hyperlink ref="F12" location="MENU!A1" display="VOLTAR AO MENU" xr:uid="{53B543C8-BDFD-4297-85BE-70C8D5FAD563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3CB2-B7F3-4E94-890F-6DA75FEE9734}">
  <dimension ref="A1:C25"/>
  <sheetViews>
    <sheetView workbookViewId="0">
      <selection activeCell="C25" sqref="C25"/>
    </sheetView>
  </sheetViews>
  <sheetFormatPr defaultRowHeight="15" outlineLevelRow="1" x14ac:dyDescent="0.25"/>
  <cols>
    <col min="1" max="1" width="39" bestFit="1" customWidth="1"/>
    <col min="2" max="2" width="14.28515625" style="18" bestFit="1" customWidth="1"/>
  </cols>
  <sheetData>
    <row r="1" spans="1:2" x14ac:dyDescent="0.25">
      <c r="A1" t="s">
        <v>212</v>
      </c>
      <c r="B1" s="18" t="s">
        <v>229</v>
      </c>
    </row>
    <row r="2" spans="1:2" ht="15.75" x14ac:dyDescent="0.25">
      <c r="A2" s="72" t="s">
        <v>213</v>
      </c>
      <c r="B2" s="73">
        <f>B3+B4</f>
        <v>32500</v>
      </c>
    </row>
    <row r="3" spans="1:2" hidden="1" outlineLevel="1" x14ac:dyDescent="0.25">
      <c r="A3" s="1" t="s">
        <v>214</v>
      </c>
      <c r="B3" s="74">
        <v>27000</v>
      </c>
    </row>
    <row r="4" spans="1:2" hidden="1" outlineLevel="1" x14ac:dyDescent="0.25">
      <c r="A4" s="1" t="s">
        <v>215</v>
      </c>
      <c r="B4" s="74">
        <v>5500</v>
      </c>
    </row>
    <row r="5" spans="1:2" ht="15.75" collapsed="1" x14ac:dyDescent="0.25">
      <c r="A5" s="72" t="s">
        <v>216</v>
      </c>
      <c r="B5" s="73">
        <v>614.54999999999995</v>
      </c>
    </row>
    <row r="6" spans="1:2" hidden="1" outlineLevel="1" x14ac:dyDescent="0.25">
      <c r="A6" s="1" t="s">
        <v>217</v>
      </c>
      <c r="B6" s="74">
        <v>0</v>
      </c>
    </row>
    <row r="7" spans="1:2" hidden="1" outlineLevel="1" x14ac:dyDescent="0.25">
      <c r="A7" s="1" t="s">
        <v>218</v>
      </c>
      <c r="B7" s="74">
        <v>0</v>
      </c>
    </row>
    <row r="8" spans="1:2" hidden="1" outlineLevel="1" x14ac:dyDescent="0.25">
      <c r="A8" s="1" t="s">
        <v>219</v>
      </c>
      <c r="B8" s="74">
        <v>64.459999999999994</v>
      </c>
    </row>
    <row r="9" spans="1:2" hidden="1" outlineLevel="1" x14ac:dyDescent="0.25">
      <c r="A9" s="1" t="s">
        <v>220</v>
      </c>
      <c r="B9" s="74">
        <v>550.08000000000004</v>
      </c>
    </row>
    <row r="10" spans="1:2" hidden="1" outlineLevel="1" x14ac:dyDescent="0.25">
      <c r="A10" s="1" t="s">
        <v>221</v>
      </c>
      <c r="B10" s="74">
        <v>0</v>
      </c>
    </row>
    <row r="11" spans="1:2" ht="15.75" collapsed="1" x14ac:dyDescent="0.25">
      <c r="A11" s="72" t="s">
        <v>222</v>
      </c>
      <c r="B11" s="73">
        <f>B2-B5</f>
        <v>31885.45</v>
      </c>
    </row>
    <row r="12" spans="1:2" ht="15.75" x14ac:dyDescent="0.25">
      <c r="A12" s="72" t="s">
        <v>223</v>
      </c>
      <c r="B12" s="73">
        <v>9550</v>
      </c>
    </row>
    <row r="13" spans="1:2" ht="15.75" x14ac:dyDescent="0.25">
      <c r="A13" s="72" t="s">
        <v>224</v>
      </c>
      <c r="B13" s="73">
        <f>B11-B12</f>
        <v>22335.45</v>
      </c>
    </row>
    <row r="14" spans="1:2" ht="15.75" x14ac:dyDescent="0.25">
      <c r="A14" s="72" t="s">
        <v>225</v>
      </c>
      <c r="B14" s="73">
        <v>6600</v>
      </c>
    </row>
    <row r="15" spans="1:2" hidden="1" outlineLevel="1" x14ac:dyDescent="0.25">
      <c r="A15" s="1" t="s">
        <v>226</v>
      </c>
      <c r="B15" s="74">
        <v>950</v>
      </c>
    </row>
    <row r="16" spans="1:2" hidden="1" outlineLevel="1" x14ac:dyDescent="0.25">
      <c r="A16" s="1" t="s">
        <v>227</v>
      </c>
      <c r="B16" s="74">
        <v>3500</v>
      </c>
    </row>
    <row r="17" spans="1:3" hidden="1" outlineLevel="1" x14ac:dyDescent="0.25">
      <c r="A17" s="1" t="s">
        <v>227</v>
      </c>
      <c r="B17" s="74">
        <v>2150</v>
      </c>
    </row>
    <row r="18" spans="1:3" ht="15.75" collapsed="1" x14ac:dyDescent="0.25">
      <c r="A18" s="72" t="s">
        <v>228</v>
      </c>
      <c r="B18" s="73">
        <f>B13-B14</f>
        <v>15735.45</v>
      </c>
    </row>
    <row r="19" spans="1:3" hidden="1" outlineLevel="1" x14ac:dyDescent="0.25">
      <c r="A19" s="1" t="s">
        <v>230</v>
      </c>
      <c r="B19" s="74">
        <v>590</v>
      </c>
    </row>
    <row r="20" spans="1:3" hidden="1" outlineLevel="1" x14ac:dyDescent="0.25">
      <c r="A20" s="1" t="s">
        <v>231</v>
      </c>
      <c r="B20" s="74">
        <v>1000</v>
      </c>
    </row>
    <row r="21" spans="1:3" ht="15.75" collapsed="1" x14ac:dyDescent="0.25">
      <c r="A21" s="72" t="s">
        <v>232</v>
      </c>
      <c r="B21" s="73">
        <f>B18-B19+B20</f>
        <v>16145.45</v>
      </c>
    </row>
    <row r="22" spans="1:3" hidden="1" outlineLevel="1" x14ac:dyDescent="0.25">
      <c r="A22" s="1" t="s">
        <v>233</v>
      </c>
      <c r="B22" s="74">
        <v>1950</v>
      </c>
    </row>
    <row r="23" spans="1:3" ht="15.75" collapsed="1" x14ac:dyDescent="0.25">
      <c r="A23" s="72" t="s">
        <v>234</v>
      </c>
      <c r="B23" s="73">
        <f>B21-B22</f>
        <v>14195.45</v>
      </c>
    </row>
    <row r="25" spans="1:3" ht="26.25" x14ac:dyDescent="0.4">
      <c r="C25" s="37" t="s">
        <v>58</v>
      </c>
    </row>
  </sheetData>
  <hyperlinks>
    <hyperlink ref="C25" location="MENU!A1" display="VOLTAR AO MENU" xr:uid="{B3E5090E-C7B1-4855-860A-6E5E84393845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1B46-27FC-4E47-8187-41C802E18306}">
  <dimension ref="A3:E15"/>
  <sheetViews>
    <sheetView workbookViewId="0">
      <selection activeCell="E15" sqref="E15"/>
    </sheetView>
  </sheetViews>
  <sheetFormatPr defaultRowHeight="15" x14ac:dyDescent="0.25"/>
  <cols>
    <col min="1" max="1" width="10.28515625" customWidth="1"/>
    <col min="2" max="2" width="14.5703125" customWidth="1"/>
    <col min="5" max="5" width="13.42578125" bestFit="1" customWidth="1"/>
  </cols>
  <sheetData>
    <row r="3" spans="1:5" x14ac:dyDescent="0.25">
      <c r="A3" s="22" t="s">
        <v>16</v>
      </c>
      <c r="B3" s="22" t="s">
        <v>205</v>
      </c>
      <c r="C3" s="22" t="s">
        <v>206</v>
      </c>
    </row>
    <row r="4" spans="1:5" x14ac:dyDescent="0.25">
      <c r="A4" s="22" t="s">
        <v>64</v>
      </c>
      <c r="B4" s="22">
        <v>50</v>
      </c>
      <c r="C4" s="22" t="s">
        <v>207</v>
      </c>
      <c r="E4" t="s">
        <v>211</v>
      </c>
    </row>
    <row r="5" spans="1:5" x14ac:dyDescent="0.25">
      <c r="A5" s="22" t="s">
        <v>64</v>
      </c>
      <c r="B5" s="22">
        <v>50</v>
      </c>
      <c r="C5" s="22" t="s">
        <v>208</v>
      </c>
      <c r="E5" s="18">
        <f>SUBTOTAL(9,Tabela6[[#All],[preço_venda]])</f>
        <v>750</v>
      </c>
    </row>
    <row r="6" spans="1:5" x14ac:dyDescent="0.25">
      <c r="A6" s="22" t="s">
        <v>64</v>
      </c>
      <c r="B6" s="22">
        <v>50</v>
      </c>
      <c r="C6" s="22" t="s">
        <v>209</v>
      </c>
    </row>
    <row r="7" spans="1:5" x14ac:dyDescent="0.25">
      <c r="A7" s="22" t="s">
        <v>64</v>
      </c>
      <c r="B7" s="22">
        <v>50</v>
      </c>
      <c r="C7" s="22" t="s">
        <v>210</v>
      </c>
    </row>
    <row r="8" spans="1:5" x14ac:dyDescent="0.25">
      <c r="A8" s="22" t="s">
        <v>64</v>
      </c>
      <c r="B8" s="22">
        <v>50</v>
      </c>
      <c r="C8" s="22" t="s">
        <v>207</v>
      </c>
    </row>
    <row r="9" spans="1:5" x14ac:dyDescent="0.25">
      <c r="A9" s="22" t="s">
        <v>72</v>
      </c>
      <c r="B9" s="22">
        <v>100</v>
      </c>
      <c r="C9" s="22" t="s">
        <v>208</v>
      </c>
    </row>
    <row r="10" spans="1:5" x14ac:dyDescent="0.25">
      <c r="A10" s="22" t="s">
        <v>72</v>
      </c>
      <c r="B10" s="22">
        <v>100</v>
      </c>
      <c r="C10" s="22" t="s">
        <v>209</v>
      </c>
    </row>
    <row r="11" spans="1:5" x14ac:dyDescent="0.25">
      <c r="A11" s="22" t="s">
        <v>72</v>
      </c>
      <c r="B11" s="22">
        <v>100</v>
      </c>
      <c r="C11" s="22" t="s">
        <v>210</v>
      </c>
    </row>
    <row r="12" spans="1:5" x14ac:dyDescent="0.25">
      <c r="A12" s="22" t="s">
        <v>72</v>
      </c>
      <c r="B12" s="22">
        <v>100</v>
      </c>
      <c r="C12" s="22" t="s">
        <v>207</v>
      </c>
    </row>
    <row r="13" spans="1:5" x14ac:dyDescent="0.25">
      <c r="A13" s="22" t="s">
        <v>72</v>
      </c>
      <c r="B13" s="22">
        <v>100</v>
      </c>
      <c r="C13" s="22" t="s">
        <v>208</v>
      </c>
    </row>
    <row r="15" spans="1:5" ht="26.25" x14ac:dyDescent="0.4">
      <c r="E15" s="37" t="s">
        <v>58</v>
      </c>
    </row>
  </sheetData>
  <hyperlinks>
    <hyperlink ref="E15" location="MENU!A1" display="VOLTAR AO MENU" xr:uid="{C2038A2C-CD8C-4227-BD69-29666A167A28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95D9-DD41-49FE-9D57-D99BE4D7D22C}">
  <dimension ref="A1:J18"/>
  <sheetViews>
    <sheetView workbookViewId="0">
      <selection activeCell="H17" sqref="H17"/>
    </sheetView>
  </sheetViews>
  <sheetFormatPr defaultRowHeight="15" x14ac:dyDescent="0.25"/>
  <cols>
    <col min="1" max="1" width="13.28515625" bestFit="1" customWidth="1"/>
    <col min="2" max="2" width="14.140625" bestFit="1" customWidth="1"/>
    <col min="3" max="3" width="15.140625" customWidth="1"/>
    <col min="5" max="5" width="9.28515625" customWidth="1"/>
    <col min="6" max="6" width="14.28515625" bestFit="1" customWidth="1"/>
    <col min="8" max="8" width="11.140625" bestFit="1" customWidth="1"/>
    <col min="9" max="9" width="6.140625" bestFit="1" customWidth="1"/>
    <col min="10" max="10" width="14.28515625" bestFit="1" customWidth="1"/>
  </cols>
  <sheetData>
    <row r="1" spans="1:10" x14ac:dyDescent="0.25">
      <c r="A1" t="s">
        <v>174</v>
      </c>
      <c r="B1" t="s">
        <v>175</v>
      </c>
      <c r="C1" t="s">
        <v>176</v>
      </c>
      <c r="E1" s="67" t="s">
        <v>175</v>
      </c>
      <c r="F1" s="62" t="s">
        <v>176</v>
      </c>
    </row>
    <row r="2" spans="1:10" x14ac:dyDescent="0.25">
      <c r="A2" t="s">
        <v>177</v>
      </c>
      <c r="B2" t="s">
        <v>188</v>
      </c>
      <c r="C2" t="s">
        <v>192</v>
      </c>
      <c r="E2" s="68" t="s">
        <v>188</v>
      </c>
      <c r="F2" s="61" t="s">
        <v>192</v>
      </c>
    </row>
    <row r="3" spans="1:10" x14ac:dyDescent="0.25">
      <c r="A3" t="s">
        <v>178</v>
      </c>
      <c r="B3" t="s">
        <v>188</v>
      </c>
      <c r="C3" t="s">
        <v>192</v>
      </c>
      <c r="H3" s="77" t="s">
        <v>199</v>
      </c>
      <c r="I3" s="77"/>
      <c r="J3" s="77"/>
    </row>
    <row r="4" spans="1:10" x14ac:dyDescent="0.25">
      <c r="A4" t="s">
        <v>179</v>
      </c>
      <c r="B4" t="s">
        <v>188</v>
      </c>
      <c r="C4" t="s">
        <v>192</v>
      </c>
      <c r="H4" s="77"/>
      <c r="I4" s="77"/>
      <c r="J4" s="77"/>
    </row>
    <row r="5" spans="1:10" x14ac:dyDescent="0.25">
      <c r="A5" t="s">
        <v>180</v>
      </c>
      <c r="B5" t="s">
        <v>188</v>
      </c>
      <c r="C5" t="s">
        <v>192</v>
      </c>
      <c r="H5" s="78"/>
      <c r="I5" s="78"/>
      <c r="J5" s="78"/>
    </row>
    <row r="6" spans="1:10" x14ac:dyDescent="0.25">
      <c r="A6" t="s">
        <v>181</v>
      </c>
      <c r="B6" t="s">
        <v>189</v>
      </c>
      <c r="C6" t="s">
        <v>193</v>
      </c>
      <c r="H6" s="70" t="s">
        <v>174</v>
      </c>
      <c r="I6" s="70" t="s">
        <v>175</v>
      </c>
      <c r="J6" s="70" t="s">
        <v>176</v>
      </c>
    </row>
    <row r="7" spans="1:10" x14ac:dyDescent="0.25">
      <c r="A7" t="s">
        <v>182</v>
      </c>
      <c r="B7" t="s">
        <v>189</v>
      </c>
      <c r="C7" t="s">
        <v>193</v>
      </c>
      <c r="H7" s="69" t="s">
        <v>177</v>
      </c>
      <c r="I7" s="69" t="s">
        <v>188</v>
      </c>
      <c r="J7" s="69" t="s">
        <v>192</v>
      </c>
    </row>
    <row r="8" spans="1:10" x14ac:dyDescent="0.25">
      <c r="A8" t="s">
        <v>183</v>
      </c>
      <c r="B8" t="s">
        <v>190</v>
      </c>
      <c r="C8" t="s">
        <v>193</v>
      </c>
      <c r="H8" s="69" t="s">
        <v>178</v>
      </c>
      <c r="I8" s="69" t="s">
        <v>188</v>
      </c>
      <c r="J8" s="69" t="s">
        <v>192</v>
      </c>
    </row>
    <row r="9" spans="1:10" x14ac:dyDescent="0.25">
      <c r="A9" t="s">
        <v>184</v>
      </c>
      <c r="B9" t="s">
        <v>190</v>
      </c>
      <c r="C9" t="s">
        <v>193</v>
      </c>
      <c r="F9" s="71"/>
      <c r="H9" s="69" t="s">
        <v>179</v>
      </c>
      <c r="I9" s="69" t="s">
        <v>188</v>
      </c>
      <c r="J9" s="69" t="s">
        <v>192</v>
      </c>
    </row>
    <row r="10" spans="1:10" x14ac:dyDescent="0.25">
      <c r="A10" t="s">
        <v>185</v>
      </c>
      <c r="B10" t="s">
        <v>190</v>
      </c>
      <c r="C10" t="s">
        <v>193</v>
      </c>
      <c r="H10" s="69" t="s">
        <v>180</v>
      </c>
      <c r="I10" s="69" t="s">
        <v>188</v>
      </c>
      <c r="J10" s="69" t="s">
        <v>192</v>
      </c>
    </row>
    <row r="11" spans="1:10" x14ac:dyDescent="0.25">
      <c r="A11" t="s">
        <v>186</v>
      </c>
      <c r="B11" t="s">
        <v>191</v>
      </c>
      <c r="C11" t="s">
        <v>193</v>
      </c>
    </row>
    <row r="12" spans="1:10" x14ac:dyDescent="0.25">
      <c r="A12" t="s">
        <v>187</v>
      </c>
      <c r="B12" t="s">
        <v>191</v>
      </c>
      <c r="C12" t="s">
        <v>193</v>
      </c>
    </row>
    <row r="13" spans="1:10" x14ac:dyDescent="0.25">
      <c r="A13" t="s">
        <v>194</v>
      </c>
      <c r="B13" t="s">
        <v>196</v>
      </c>
      <c r="C13" t="s">
        <v>198</v>
      </c>
    </row>
    <row r="14" spans="1:10" x14ac:dyDescent="0.25">
      <c r="A14" t="s">
        <v>195</v>
      </c>
      <c r="B14" t="s">
        <v>197</v>
      </c>
      <c r="C14" t="s">
        <v>198</v>
      </c>
    </row>
    <row r="15" spans="1:10" x14ac:dyDescent="0.25">
      <c r="A15" t="s">
        <v>200</v>
      </c>
      <c r="B15" t="s">
        <v>201</v>
      </c>
      <c r="C15" t="s">
        <v>192</v>
      </c>
    </row>
    <row r="16" spans="1:10" x14ac:dyDescent="0.25">
      <c r="A16" t="s">
        <v>202</v>
      </c>
      <c r="B16" t="s">
        <v>201</v>
      </c>
      <c r="C16" t="s">
        <v>192</v>
      </c>
    </row>
    <row r="17" spans="1:8" ht="26.25" x14ac:dyDescent="0.4">
      <c r="A17" t="s">
        <v>203</v>
      </c>
      <c r="B17" t="s">
        <v>204</v>
      </c>
      <c r="C17" t="s">
        <v>192</v>
      </c>
      <c r="H17" s="37" t="s">
        <v>58</v>
      </c>
    </row>
    <row r="18" spans="1:8" x14ac:dyDescent="0.25">
      <c r="A18" s="71"/>
    </row>
  </sheetData>
  <mergeCells count="1">
    <mergeCell ref="H3:J5"/>
  </mergeCells>
  <hyperlinks>
    <hyperlink ref="H17" location="MENU!A1" display="VOLTAR AO MENU" xr:uid="{CFA402D1-ECC8-43C7-947D-DB1D53315D18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9F4C-BBA7-40BA-8B2A-355042BC9FE8}">
  <dimension ref="B2:G9"/>
  <sheetViews>
    <sheetView workbookViewId="0">
      <selection activeCell="G9" sqref="G9"/>
    </sheetView>
  </sheetViews>
  <sheetFormatPr defaultRowHeight="15" x14ac:dyDescent="0.25"/>
  <sheetData>
    <row r="2" spans="2:7" x14ac:dyDescent="0.25">
      <c r="B2">
        <v>100</v>
      </c>
    </row>
    <row r="3" spans="2:7" x14ac:dyDescent="0.25">
      <c r="F3">
        <f>B2*2</f>
        <v>200</v>
      </c>
    </row>
    <row r="5" spans="2:7" x14ac:dyDescent="0.25">
      <c r="C5">
        <f>F3*3</f>
        <v>600</v>
      </c>
    </row>
    <row r="6" spans="2:7" x14ac:dyDescent="0.25">
      <c r="E6">
        <f>C5*4</f>
        <v>2400</v>
      </c>
    </row>
    <row r="9" spans="2:7" ht="26.25" x14ac:dyDescent="0.4">
      <c r="G9" s="37" t="s">
        <v>58</v>
      </c>
    </row>
  </sheetData>
  <hyperlinks>
    <hyperlink ref="G9" location="MENU!A1" display="VOLTAR AO MENU" xr:uid="{AF002881-78DB-4644-B6F2-160BE3F8A4C9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9C9E-D358-41AB-A47D-ABE5B44FA33C}">
  <dimension ref="A2:M16"/>
  <sheetViews>
    <sheetView workbookViewId="0">
      <selection activeCell="K16" sqref="K16"/>
    </sheetView>
  </sheetViews>
  <sheetFormatPr defaultRowHeight="15" x14ac:dyDescent="0.25"/>
  <cols>
    <col min="1" max="1" width="9.140625" style="22"/>
    <col min="2" max="2" width="11.140625" style="22" bestFit="1" customWidth="1"/>
    <col min="3" max="3" width="10.5703125" style="22" bestFit="1" customWidth="1"/>
    <col min="4" max="4" width="9.140625" style="22"/>
    <col min="5" max="5" width="11.140625" style="22" bestFit="1" customWidth="1"/>
    <col min="6" max="6" width="13.85546875" style="22" customWidth="1"/>
    <col min="7" max="8" width="10.42578125" style="22" bestFit="1" customWidth="1"/>
    <col min="9" max="9" width="11.140625" style="22" bestFit="1" customWidth="1"/>
    <col min="10" max="13" width="12.140625" style="22" bestFit="1" customWidth="1"/>
    <col min="14" max="16384" width="9.140625" style="22"/>
  </cols>
  <sheetData>
    <row r="2" spans="1:13" x14ac:dyDescent="0.25">
      <c r="A2" s="79" t="s">
        <v>161</v>
      </c>
      <c r="B2" s="79"/>
      <c r="C2" s="79"/>
      <c r="D2" s="79"/>
      <c r="E2" s="79"/>
      <c r="F2" s="79"/>
    </row>
    <row r="3" spans="1:13" x14ac:dyDescent="0.25">
      <c r="B3" s="24" t="s">
        <v>17</v>
      </c>
      <c r="C3" s="24">
        <v>7</v>
      </c>
      <c r="E3" s="24" t="s">
        <v>22</v>
      </c>
      <c r="F3" s="65">
        <f>C5</f>
        <v>70</v>
      </c>
      <c r="G3" s="64" t="s">
        <v>162</v>
      </c>
      <c r="I3" s="24" t="s">
        <v>163</v>
      </c>
      <c r="J3" s="24">
        <v>10</v>
      </c>
      <c r="K3" s="24">
        <v>15</v>
      </c>
      <c r="L3" s="24">
        <v>20</v>
      </c>
      <c r="M3" s="24">
        <v>30</v>
      </c>
    </row>
    <row r="4" spans="1:13" x14ac:dyDescent="0.25">
      <c r="B4" s="24" t="s">
        <v>22</v>
      </c>
      <c r="C4" s="63">
        <v>10</v>
      </c>
      <c r="E4" s="63">
        <v>12</v>
      </c>
      <c r="F4" s="63">
        <f t="dataTable" ref="F4:F8" dt2D="0" dtr="0" r1="C4" ca="1"/>
        <v>84</v>
      </c>
      <c r="H4" s="64" t="s">
        <v>162</v>
      </c>
      <c r="I4" s="65">
        <f>C5</f>
        <v>70</v>
      </c>
      <c r="J4" s="63">
        <f t="dataTable" ref="J4:M4" dt2D="0" dtr="1" r1="C3" ca="1"/>
        <v>100</v>
      </c>
      <c r="K4" s="63">
        <v>150</v>
      </c>
      <c r="L4" s="63">
        <v>200</v>
      </c>
      <c r="M4" s="63">
        <v>300</v>
      </c>
    </row>
    <row r="5" spans="1:13" x14ac:dyDescent="0.25">
      <c r="B5" s="24" t="s">
        <v>160</v>
      </c>
      <c r="C5" s="66">
        <f>C3*C4</f>
        <v>70</v>
      </c>
      <c r="E5" s="63">
        <v>14</v>
      </c>
      <c r="F5" s="63">
        <v>98</v>
      </c>
    </row>
    <row r="6" spans="1:13" x14ac:dyDescent="0.25">
      <c r="C6" s="64" t="s">
        <v>164</v>
      </c>
      <c r="E6" s="63">
        <v>16</v>
      </c>
      <c r="F6" s="63">
        <v>112</v>
      </c>
    </row>
    <row r="7" spans="1:13" x14ac:dyDescent="0.25">
      <c r="E7" s="63">
        <v>18</v>
      </c>
      <c r="F7" s="63">
        <v>126</v>
      </c>
    </row>
    <row r="8" spans="1:13" x14ac:dyDescent="0.25">
      <c r="E8" s="63">
        <v>20</v>
      </c>
      <c r="F8" s="63">
        <v>140</v>
      </c>
    </row>
    <row r="11" spans="1:13" x14ac:dyDescent="0.25">
      <c r="E11" s="65">
        <f>C5</f>
        <v>70</v>
      </c>
      <c r="F11" s="24">
        <v>10</v>
      </c>
      <c r="G11" s="24">
        <v>15</v>
      </c>
      <c r="H11" s="24">
        <v>20</v>
      </c>
      <c r="I11" s="24">
        <v>30</v>
      </c>
    </row>
    <row r="12" spans="1:13" x14ac:dyDescent="0.25">
      <c r="E12" s="63">
        <v>12</v>
      </c>
      <c r="F12" s="63">
        <f t="dataTable" ref="F12:I16" dt2D="1" dtr="1" r1="C3" r2="C4"/>
        <v>120</v>
      </c>
      <c r="G12" s="63">
        <v>180</v>
      </c>
      <c r="H12" s="63">
        <v>240</v>
      </c>
      <c r="I12" s="63">
        <v>360</v>
      </c>
    </row>
    <row r="13" spans="1:13" x14ac:dyDescent="0.25">
      <c r="E13" s="63">
        <v>14</v>
      </c>
      <c r="F13" s="63">
        <v>140</v>
      </c>
      <c r="G13" s="63">
        <v>210</v>
      </c>
      <c r="H13" s="63">
        <v>280</v>
      </c>
      <c r="I13" s="63">
        <v>420</v>
      </c>
    </row>
    <row r="14" spans="1:13" x14ac:dyDescent="0.25">
      <c r="E14" s="63">
        <v>16</v>
      </c>
      <c r="F14" s="63">
        <v>160</v>
      </c>
      <c r="G14" s="63">
        <v>240</v>
      </c>
      <c r="H14" s="63">
        <v>320</v>
      </c>
      <c r="I14" s="63">
        <v>480</v>
      </c>
    </row>
    <row r="15" spans="1:13" x14ac:dyDescent="0.25">
      <c r="E15" s="63">
        <v>18</v>
      </c>
      <c r="F15" s="63">
        <v>180</v>
      </c>
      <c r="G15" s="63">
        <v>270</v>
      </c>
      <c r="H15" s="63">
        <v>360</v>
      </c>
      <c r="I15" s="63">
        <v>540</v>
      </c>
    </row>
    <row r="16" spans="1:13" ht="26.25" x14ac:dyDescent="0.4">
      <c r="E16" s="63">
        <v>20</v>
      </c>
      <c r="F16" s="63">
        <v>200</v>
      </c>
      <c r="G16" s="63">
        <v>300</v>
      </c>
      <c r="H16" s="63">
        <v>400</v>
      </c>
      <c r="I16" s="63">
        <v>600</v>
      </c>
      <c r="K16" s="37" t="s">
        <v>58</v>
      </c>
    </row>
  </sheetData>
  <mergeCells count="1">
    <mergeCell ref="A2:F2"/>
  </mergeCells>
  <hyperlinks>
    <hyperlink ref="K16" location="MENU!A1" display="VOLTAR AO MENU" xr:uid="{DB5EB860-ADFE-47F2-9823-30FA66FA9E66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44B9-A8DE-4DB1-8F89-BC0467BE4214}">
  <sheetPr>
    <outlinePr summaryBelow="0"/>
  </sheetPr>
  <dimension ref="B1:H14"/>
  <sheetViews>
    <sheetView showGridLines="0" workbookViewId="0">
      <selection activeCell="H14" sqref="H14"/>
    </sheetView>
  </sheetViews>
  <sheetFormatPr defaultRowHeight="15" outlineLevelRow="1" outlineLevelCol="1" x14ac:dyDescent="0.25"/>
  <cols>
    <col min="3" max="3" width="5.42578125" bestFit="1" customWidth="1"/>
    <col min="4" max="7" width="13.28515625" bestFit="1" customWidth="1" outlineLevel="1"/>
  </cols>
  <sheetData>
    <row r="1" spans="2:8" ht="15.75" thickBot="1" x14ac:dyDescent="0.3"/>
    <row r="2" spans="2:8" ht="15.75" x14ac:dyDescent="0.25">
      <c r="B2" s="51" t="s">
        <v>149</v>
      </c>
      <c r="C2" s="51"/>
      <c r="D2" s="56"/>
      <c r="E2" s="56"/>
      <c r="F2" s="56"/>
      <c r="G2" s="56"/>
    </row>
    <row r="3" spans="2:8" ht="15.75" collapsed="1" x14ac:dyDescent="0.25">
      <c r="B3" s="50"/>
      <c r="C3" s="50"/>
      <c r="D3" s="57" t="s">
        <v>151</v>
      </c>
      <c r="E3" s="57" t="s">
        <v>136</v>
      </c>
      <c r="F3" s="57" t="s">
        <v>138</v>
      </c>
      <c r="G3" s="57" t="s">
        <v>137</v>
      </c>
    </row>
    <row r="4" spans="2:8" ht="45" hidden="1" outlineLevel="1" x14ac:dyDescent="0.25">
      <c r="B4" s="53"/>
      <c r="C4" s="53"/>
      <c r="E4" s="60" t="s">
        <v>147</v>
      </c>
      <c r="F4" s="60" t="s">
        <v>148</v>
      </c>
      <c r="G4" s="60" t="s">
        <v>148</v>
      </c>
    </row>
    <row r="5" spans="2:8" x14ac:dyDescent="0.25">
      <c r="B5" s="54" t="s">
        <v>150</v>
      </c>
      <c r="C5" s="54"/>
      <c r="D5" s="52"/>
      <c r="E5" s="52"/>
      <c r="F5" s="52"/>
      <c r="G5" s="52"/>
    </row>
    <row r="6" spans="2:8" outlineLevel="1" x14ac:dyDescent="0.25">
      <c r="B6" s="53"/>
      <c r="C6" s="53" t="s">
        <v>142</v>
      </c>
      <c r="D6" s="47">
        <v>200</v>
      </c>
      <c r="E6" s="58">
        <v>200</v>
      </c>
      <c r="F6" s="58">
        <v>200</v>
      </c>
      <c r="G6" s="58">
        <v>200</v>
      </c>
    </row>
    <row r="7" spans="2:8" outlineLevel="1" x14ac:dyDescent="0.25">
      <c r="B7" s="53"/>
      <c r="C7" s="53" t="s">
        <v>143</v>
      </c>
      <c r="D7" s="47">
        <v>100</v>
      </c>
      <c r="E7" s="58">
        <v>100</v>
      </c>
      <c r="F7" s="58">
        <v>100</v>
      </c>
      <c r="G7" s="58">
        <v>100</v>
      </c>
    </row>
    <row r="8" spans="2:8" outlineLevel="1" x14ac:dyDescent="0.25">
      <c r="B8" s="53"/>
      <c r="C8" s="53" t="s">
        <v>144</v>
      </c>
      <c r="D8" s="48">
        <v>75</v>
      </c>
      <c r="E8" s="59">
        <v>25</v>
      </c>
      <c r="F8" s="59">
        <v>100</v>
      </c>
      <c r="G8" s="59">
        <v>75</v>
      </c>
    </row>
    <row r="9" spans="2:8" x14ac:dyDescent="0.25">
      <c r="B9" s="54" t="s">
        <v>152</v>
      </c>
      <c r="C9" s="54"/>
      <c r="D9" s="52"/>
      <c r="E9" s="52"/>
      <c r="F9" s="52"/>
      <c r="G9" s="52"/>
    </row>
    <row r="10" spans="2:8" outlineLevel="1" x14ac:dyDescent="0.25">
      <c r="B10" s="53"/>
      <c r="C10" s="53" t="s">
        <v>145</v>
      </c>
      <c r="D10" s="47">
        <v>7500</v>
      </c>
      <c r="E10" s="47">
        <v>2500</v>
      </c>
      <c r="F10" s="47">
        <v>10000</v>
      </c>
      <c r="G10" s="47">
        <v>7500</v>
      </c>
    </row>
    <row r="11" spans="2:8" ht="15.75" outlineLevel="1" thickBot="1" x14ac:dyDescent="0.3">
      <c r="B11" s="55"/>
      <c r="C11" s="55" t="s">
        <v>146</v>
      </c>
      <c r="D11" s="49">
        <v>15000</v>
      </c>
      <c r="E11" s="49">
        <v>5000</v>
      </c>
      <c r="F11" s="49">
        <v>20000</v>
      </c>
      <c r="G11" s="49">
        <v>15000</v>
      </c>
    </row>
    <row r="12" spans="2:8" x14ac:dyDescent="0.25">
      <c r="B12" t="s">
        <v>153</v>
      </c>
    </row>
    <row r="13" spans="2:8" x14ac:dyDescent="0.25">
      <c r="B13" t="s">
        <v>154</v>
      </c>
    </row>
    <row r="14" spans="2:8" ht="26.25" x14ac:dyDescent="0.4">
      <c r="B14" t="s">
        <v>155</v>
      </c>
      <c r="H14" s="37" t="s">
        <v>58</v>
      </c>
    </row>
  </sheetData>
  <hyperlinks>
    <hyperlink ref="H14" location="MENU!A1" display="VOLTAR AO MENU" xr:uid="{16665B59-87BD-4451-9C6A-2F79740877C6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AAD8-FF9A-443D-8F95-B865D055DA9E}">
  <dimension ref="A1:H12"/>
  <sheetViews>
    <sheetView workbookViewId="0">
      <selection activeCell="F12" sqref="F12"/>
    </sheetView>
  </sheetViews>
  <sheetFormatPr defaultRowHeight="15" x14ac:dyDescent="0.25"/>
  <cols>
    <col min="3" max="3" width="10.42578125" bestFit="1" customWidth="1"/>
    <col min="4" max="4" width="17.140625" bestFit="1" customWidth="1"/>
    <col min="5" max="5" width="10.5703125" bestFit="1" customWidth="1"/>
    <col min="6" max="6" width="21.28515625" bestFit="1" customWidth="1"/>
    <col min="7" max="7" width="14.28515625" bestFit="1" customWidth="1"/>
    <col min="8" max="8" width="14.7109375" bestFit="1" customWidth="1"/>
  </cols>
  <sheetData>
    <row r="1" spans="1:8" x14ac:dyDescent="0.25">
      <c r="A1" s="46" t="s">
        <v>135</v>
      </c>
    </row>
    <row r="2" spans="1:8" x14ac:dyDescent="0.25">
      <c r="A2" s="46" t="s">
        <v>136</v>
      </c>
    </row>
    <row r="3" spans="1:8" x14ac:dyDescent="0.25">
      <c r="A3" s="46" t="s">
        <v>137</v>
      </c>
    </row>
    <row r="4" spans="1:8" x14ac:dyDescent="0.25">
      <c r="A4" s="46" t="s">
        <v>138</v>
      </c>
    </row>
    <row r="5" spans="1:8" x14ac:dyDescent="0.25">
      <c r="C5" t="s">
        <v>16</v>
      </c>
      <c r="D5" t="s">
        <v>126</v>
      </c>
      <c r="E5" t="s">
        <v>127</v>
      </c>
      <c r="F5" t="s">
        <v>129</v>
      </c>
      <c r="G5" t="s">
        <v>128</v>
      </c>
      <c r="H5" t="s">
        <v>139</v>
      </c>
    </row>
    <row r="6" spans="1:8" x14ac:dyDescent="0.25">
      <c r="C6" t="s">
        <v>130</v>
      </c>
      <c r="D6" s="18">
        <v>200</v>
      </c>
      <c r="E6" s="18">
        <v>100</v>
      </c>
      <c r="F6" s="45">
        <v>75</v>
      </c>
      <c r="G6" s="18">
        <f>(Tabela79[[#This Row],[preço de venda]]-Tabela79[[#This Row],[custo]])*Tabela79[[#This Row],[quantidade vendida]]</f>
        <v>7500</v>
      </c>
      <c r="H6" s="18">
        <f>Tabela79[[#This Row],[preço de venda]]*Tabela79[[#This Row],[quantidade vendida]]</f>
        <v>15000</v>
      </c>
    </row>
    <row r="7" spans="1:8" x14ac:dyDescent="0.25">
      <c r="C7" t="s">
        <v>63</v>
      </c>
      <c r="D7" s="18">
        <v>380</v>
      </c>
      <c r="E7" s="18">
        <v>150</v>
      </c>
      <c r="F7" s="45">
        <v>30</v>
      </c>
      <c r="G7" s="18">
        <f>(Tabela79[[#This Row],[preço de venda]]-Tabela79[[#This Row],[custo]])*Tabela79[[#This Row],[quantidade vendida]]</f>
        <v>6900</v>
      </c>
      <c r="H7" s="18">
        <f>Tabela79[[#This Row],[preço de venda]]*Tabela79[[#This Row],[quantidade vendida]]</f>
        <v>11400</v>
      </c>
    </row>
    <row r="8" spans="1:8" x14ac:dyDescent="0.25">
      <c r="C8" t="s">
        <v>140</v>
      </c>
      <c r="D8" s="18">
        <v>1000</v>
      </c>
      <c r="E8" s="18">
        <v>650</v>
      </c>
      <c r="F8" s="45">
        <v>20</v>
      </c>
      <c r="G8" s="18">
        <f>(Tabela79[[#This Row],[preço de venda]]-Tabela79[[#This Row],[custo]])*Tabela79[[#This Row],[quantidade vendida]]</f>
        <v>7000</v>
      </c>
      <c r="H8" s="18">
        <f>Tabela79[[#This Row],[preço de venda]]*Tabela79[[#This Row],[quantidade vendida]]</f>
        <v>20000</v>
      </c>
    </row>
    <row r="9" spans="1:8" x14ac:dyDescent="0.25">
      <c r="C9" t="s">
        <v>64</v>
      </c>
      <c r="D9" s="18">
        <v>459</v>
      </c>
      <c r="E9" s="18">
        <v>100</v>
      </c>
      <c r="F9" s="45">
        <v>10</v>
      </c>
      <c r="G9" s="18">
        <f>(Tabela79[[#This Row],[preço de venda]]-Tabela79[[#This Row],[custo]])*Tabela79[[#This Row],[quantidade vendida]]</f>
        <v>3590</v>
      </c>
      <c r="H9" s="18">
        <f>Tabela79[[#This Row],[preço de venda]]*Tabela79[[#This Row],[quantidade vendida]]</f>
        <v>4590</v>
      </c>
    </row>
    <row r="10" spans="1:8" x14ac:dyDescent="0.25">
      <c r="C10" t="s">
        <v>141</v>
      </c>
      <c r="D10" s="18">
        <v>300</v>
      </c>
      <c r="E10" s="18">
        <v>90</v>
      </c>
      <c r="F10" s="45">
        <v>5</v>
      </c>
      <c r="G10" s="18">
        <f>(Tabela79[[#This Row],[preço de venda]]-Tabela79[[#This Row],[custo]])*Tabela79[[#This Row],[quantidade vendida]]</f>
        <v>1050</v>
      </c>
      <c r="H10" s="18">
        <f>Tabela79[[#This Row],[preço de venda]]*Tabela79[[#This Row],[quantidade vendida]]</f>
        <v>1500</v>
      </c>
    </row>
    <row r="12" spans="1:8" ht="26.25" x14ac:dyDescent="0.4">
      <c r="F12" s="37" t="s">
        <v>58</v>
      </c>
    </row>
  </sheetData>
  <scenarios current="2" show="2" sqref="G6 H6">
    <scenario name="Pessimista" locked="1" count="3" user="Daniel" comment="Criado por Daniel em 19/01/2026_x000a_Alterado por Daniel em 19/01/2026">
      <inputCells r="D6" val="200" numFmtId="44"/>
      <inputCells r="E6" val="100" numFmtId="44"/>
      <inputCells r="F6" val="25" numFmtId="1"/>
    </scenario>
    <scenario name="Otimista" locked="1" count="3" user="Daniel" comment="Criado por Daniel em 19/01/2026">
      <inputCells r="D6" val="200" numFmtId="44"/>
      <inputCells r="E6" val="100" numFmtId="44"/>
      <inputCells r="F6" val="100" numFmtId="1"/>
    </scenario>
    <scenario name="Realista" locked="1" count="3" user="Daniel" comment="Criado por Daniel em 19/01/2026">
      <inputCells r="D6" val="200" numFmtId="44"/>
      <inputCells r="E6" val="100" numFmtId="44"/>
      <inputCells r="F6" val="75" numFmtId="1"/>
    </scenario>
  </scenarios>
  <hyperlinks>
    <hyperlink ref="F12" location="MENU!A1" display="VOLTAR AO MENU" xr:uid="{10068950-32CF-4D40-BE74-0557E415509F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CDDC-518E-4E35-B13A-0474FBF194FC}">
  <dimension ref="A2:G18"/>
  <sheetViews>
    <sheetView workbookViewId="0">
      <selection activeCell="B18" sqref="B18"/>
    </sheetView>
  </sheetViews>
  <sheetFormatPr defaultRowHeight="15" x14ac:dyDescent="0.25"/>
  <cols>
    <col min="3" max="3" width="10.28515625" customWidth="1"/>
    <col min="4" max="4" width="16.85546875" customWidth="1"/>
    <col min="5" max="5" width="10.5703125" bestFit="1" customWidth="1"/>
    <col min="6" max="6" width="20.85546875" customWidth="1"/>
    <col min="7" max="7" width="14.28515625" bestFit="1" customWidth="1"/>
  </cols>
  <sheetData>
    <row r="2" spans="1:7" x14ac:dyDescent="0.25">
      <c r="A2" s="44" t="s">
        <v>133</v>
      </c>
    </row>
    <row r="4" spans="1:7" x14ac:dyDescent="0.25">
      <c r="C4" t="s">
        <v>16</v>
      </c>
      <c r="D4" t="s">
        <v>126</v>
      </c>
      <c r="E4" t="s">
        <v>127</v>
      </c>
      <c r="F4" t="s">
        <v>129</v>
      </c>
      <c r="G4" t="s">
        <v>128</v>
      </c>
    </row>
    <row r="5" spans="1:7" x14ac:dyDescent="0.25">
      <c r="C5" t="s">
        <v>130</v>
      </c>
      <c r="D5" s="18">
        <v>200</v>
      </c>
      <c r="E5" s="18">
        <v>100</v>
      </c>
      <c r="F5" s="45">
        <v>1000</v>
      </c>
      <c r="G5" s="18">
        <f>(Tabela7[[#This Row],[preço de venda]]-Tabela7[[#This Row],[custo]])*Tabela7[[#This Row],[quantidade vendida]]</f>
        <v>100000</v>
      </c>
    </row>
    <row r="7" spans="1:7" x14ac:dyDescent="0.25">
      <c r="C7" t="s">
        <v>131</v>
      </c>
    </row>
    <row r="8" spans="1:7" x14ac:dyDescent="0.25">
      <c r="C8" t="s">
        <v>132</v>
      </c>
    </row>
    <row r="18" spans="2:2" ht="26.25" x14ac:dyDescent="0.4">
      <c r="B18" s="37" t="s">
        <v>58</v>
      </c>
    </row>
  </sheetData>
  <hyperlinks>
    <hyperlink ref="B18" location="MENU!A1" display="VOLTAR AO MENU" xr:uid="{550235F5-3243-4F78-A492-F9FCE797A2CC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4E17-A47E-4144-B9B9-B66602C46F3F}">
  <dimension ref="B1:G11"/>
  <sheetViews>
    <sheetView zoomScale="145" zoomScaleNormal="145" workbookViewId="0">
      <selection activeCell="B11" sqref="B11"/>
    </sheetView>
  </sheetViews>
  <sheetFormatPr defaultRowHeight="15" x14ac:dyDescent="0.25"/>
  <cols>
    <col min="2" max="2" width="15.42578125" bestFit="1" customWidth="1"/>
    <col min="5" max="5" width="10.5703125" customWidth="1"/>
    <col min="6" max="6" width="20" customWidth="1"/>
    <col min="7" max="7" width="45.5703125" style="43" bestFit="1" customWidth="1"/>
  </cols>
  <sheetData>
    <row r="1" spans="2:7" x14ac:dyDescent="0.25">
      <c r="G1" s="43" t="s">
        <v>124</v>
      </c>
    </row>
    <row r="2" spans="2:7" x14ac:dyDescent="0.25">
      <c r="B2" s="41" t="s">
        <v>118</v>
      </c>
      <c r="D2" s="22" t="s">
        <v>119</v>
      </c>
      <c r="E2" s="22" t="s">
        <v>59</v>
      </c>
      <c r="F2" s="22" t="s">
        <v>112</v>
      </c>
      <c r="G2" s="42" t="s">
        <v>123</v>
      </c>
    </row>
    <row r="3" spans="2:7" x14ac:dyDescent="0.25">
      <c r="B3" s="40" t="s">
        <v>113</v>
      </c>
      <c r="D3" s="22">
        <v>1</v>
      </c>
      <c r="E3" s="22" t="s">
        <v>62</v>
      </c>
      <c r="F3" s="22" t="s">
        <v>113</v>
      </c>
      <c r="G3" s="42">
        <v>200</v>
      </c>
    </row>
    <row r="4" spans="2:7" x14ac:dyDescent="0.25">
      <c r="B4" s="40" t="s">
        <v>114</v>
      </c>
      <c r="D4" s="22">
        <v>2</v>
      </c>
      <c r="E4" s="22" t="s">
        <v>63</v>
      </c>
      <c r="F4" s="22" t="s">
        <v>116</v>
      </c>
      <c r="G4" s="42">
        <v>300</v>
      </c>
    </row>
    <row r="5" spans="2:7" x14ac:dyDescent="0.25">
      <c r="B5" s="40" t="s">
        <v>115</v>
      </c>
      <c r="D5" s="22">
        <v>3</v>
      </c>
      <c r="E5" s="22" t="s">
        <v>120</v>
      </c>
      <c r="F5" s="22" t="s">
        <v>117</v>
      </c>
      <c r="G5" s="42"/>
    </row>
    <row r="6" spans="2:7" x14ac:dyDescent="0.25">
      <c r="B6" s="40" t="s">
        <v>116</v>
      </c>
      <c r="D6" s="22">
        <v>4</v>
      </c>
      <c r="E6" s="22" t="s">
        <v>121</v>
      </c>
      <c r="F6" s="22" t="s">
        <v>115</v>
      </c>
      <c r="G6" s="42"/>
    </row>
    <row r="7" spans="2:7" x14ac:dyDescent="0.25">
      <c r="B7" s="40" t="s">
        <v>117</v>
      </c>
      <c r="D7" s="22">
        <v>5</v>
      </c>
      <c r="E7" s="22" t="s">
        <v>122</v>
      </c>
      <c r="F7" s="22" t="s">
        <v>114</v>
      </c>
      <c r="G7" s="42"/>
    </row>
    <row r="8" spans="2:7" x14ac:dyDescent="0.25">
      <c r="D8" s="22">
        <v>6</v>
      </c>
      <c r="E8" s="22" t="s">
        <v>64</v>
      </c>
      <c r="F8" s="22" t="s">
        <v>117</v>
      </c>
      <c r="G8" s="42"/>
    </row>
    <row r="11" spans="2:7" ht="26.25" x14ac:dyDescent="0.4">
      <c r="B11" s="37" t="s">
        <v>58</v>
      </c>
    </row>
  </sheetData>
  <dataValidations count="2">
    <dataValidation type="list" allowBlank="1" showInputMessage="1" showErrorMessage="1" errorTitle="ERRO" error="Escolha um item da lista" sqref="F3:F8" xr:uid="{C95C0664-8ECC-4FB7-9CBC-60671B666584}">
      <formula1>$B$3:$B$7</formula1>
    </dataValidation>
    <dataValidation type="custom" allowBlank="1" showInputMessage="1" showErrorMessage="1" errorTitle="Erro" error="somente números positivos" sqref="G3:G8" xr:uid="{73B61398-21A4-4C1D-9E78-6E12C541E64A}">
      <formula1>AND(G3&gt;0,ISNUMBER(G3))</formula1>
    </dataValidation>
  </dataValidations>
  <hyperlinks>
    <hyperlink ref="B11" location="MENU!A1" display="VOLTAR AO MENU" xr:uid="{034BE47E-5522-4BFF-9007-E0801E378DFC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F598-CF8F-4798-A81C-F56A672C06A0}">
  <dimension ref="B2:L11"/>
  <sheetViews>
    <sheetView workbookViewId="0">
      <selection activeCell="E11" sqref="E11"/>
    </sheetView>
  </sheetViews>
  <sheetFormatPr defaultRowHeight="15" x14ac:dyDescent="0.25"/>
  <sheetData>
    <row r="2" spans="2:12" x14ac:dyDescent="0.25">
      <c r="B2" s="19" t="s">
        <v>16</v>
      </c>
      <c r="C2" s="19" t="s">
        <v>93</v>
      </c>
      <c r="E2" t="s">
        <v>99</v>
      </c>
    </row>
    <row r="3" spans="2:12" x14ac:dyDescent="0.25">
      <c r="B3" s="19" t="s">
        <v>86</v>
      </c>
      <c r="C3" s="19">
        <v>40000</v>
      </c>
      <c r="E3" t="str" cm="1">
        <f t="array" ref="E3:L4">TRANSPOSE(B2:C9)</f>
        <v>produto</v>
      </c>
      <c r="F3" t="str">
        <v>carro</v>
      </c>
      <c r="G3" t="str">
        <v>navio</v>
      </c>
      <c r="H3" t="str">
        <v>avião</v>
      </c>
      <c r="I3" t="str">
        <v>trem</v>
      </c>
      <c r="J3" t="str">
        <v>ônibus</v>
      </c>
      <c r="K3" t="str">
        <v>moto</v>
      </c>
      <c r="L3" t="str">
        <v>bicicleta</v>
      </c>
    </row>
    <row r="4" spans="2:12" x14ac:dyDescent="0.25">
      <c r="B4" s="19" t="s">
        <v>87</v>
      </c>
      <c r="C4" s="19">
        <v>10000</v>
      </c>
      <c r="E4" t="str">
        <v>valor</v>
      </c>
      <c r="F4">
        <v>40000</v>
      </c>
      <c r="G4">
        <v>10000</v>
      </c>
      <c r="H4">
        <v>900000</v>
      </c>
      <c r="I4">
        <v>300000</v>
      </c>
      <c r="J4">
        <v>400000</v>
      </c>
      <c r="K4">
        <v>35000</v>
      </c>
      <c r="L4">
        <v>1000</v>
      </c>
    </row>
    <row r="5" spans="2:12" x14ac:dyDescent="0.25">
      <c r="B5" s="19" t="s">
        <v>88</v>
      </c>
      <c r="C5" s="19">
        <v>900000</v>
      </c>
    </row>
    <row r="6" spans="2:12" x14ac:dyDescent="0.25">
      <c r="B6" s="19" t="s">
        <v>89</v>
      </c>
      <c r="C6" s="19">
        <v>300000</v>
      </c>
    </row>
    <row r="7" spans="2:12" x14ac:dyDescent="0.25">
      <c r="B7" s="19" t="s">
        <v>90</v>
      </c>
      <c r="C7" s="19">
        <v>400000</v>
      </c>
    </row>
    <row r="8" spans="2:12" x14ac:dyDescent="0.25">
      <c r="B8" s="19" t="s">
        <v>91</v>
      </c>
      <c r="C8" s="19">
        <v>35000</v>
      </c>
    </row>
    <row r="9" spans="2:12" x14ac:dyDescent="0.25">
      <c r="B9" s="19" t="s">
        <v>92</v>
      </c>
      <c r="C9" s="19">
        <v>1000</v>
      </c>
    </row>
    <row r="11" spans="2:12" ht="26.25" x14ac:dyDescent="0.4">
      <c r="E11" s="37" t="s">
        <v>58</v>
      </c>
    </row>
  </sheetData>
  <hyperlinks>
    <hyperlink ref="E11" location="MENU!A1" display="VOLTAR AO MENU" xr:uid="{0CE83B96-A4B5-4D47-9B22-8B7A0AC3C73A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732F-DDB6-440E-983F-E5103926A1A2}">
  <dimension ref="A1:N23"/>
  <sheetViews>
    <sheetView workbookViewId="0">
      <selection activeCell="N14" sqref="N14"/>
    </sheetView>
  </sheetViews>
  <sheetFormatPr defaultRowHeight="15" x14ac:dyDescent="0.25"/>
  <cols>
    <col min="5" max="5" width="9.85546875" bestFit="1" customWidth="1"/>
    <col min="12" max="12" width="16.140625" bestFit="1" customWidth="1"/>
    <col min="14" max="14" width="30.5703125" bestFit="1" customWidth="1"/>
  </cols>
  <sheetData>
    <row r="1" spans="1:14" x14ac:dyDescent="0.25">
      <c r="E1" s="19"/>
      <c r="F1" s="19"/>
      <c r="G1" s="19" t="s">
        <v>95</v>
      </c>
    </row>
    <row r="2" spans="1:14" x14ac:dyDescent="0.25">
      <c r="B2" s="19" t="s">
        <v>16</v>
      </c>
      <c r="C2" s="19" t="s">
        <v>93</v>
      </c>
      <c r="E2" s="19" t="s">
        <v>94</v>
      </c>
      <c r="F2" s="19" t="s">
        <v>16</v>
      </c>
      <c r="G2" s="19" t="s">
        <v>22</v>
      </c>
    </row>
    <row r="3" spans="1:14" x14ac:dyDescent="0.25">
      <c r="B3" s="19" t="s">
        <v>86</v>
      </c>
      <c r="C3" s="19">
        <v>40000</v>
      </c>
      <c r="E3" s="19">
        <v>1</v>
      </c>
      <c r="F3" s="19" t="s">
        <v>89</v>
      </c>
      <c r="G3" s="19">
        <f>VLOOKUP(F3,$B$2:$C$9,2,0)</f>
        <v>300000</v>
      </c>
    </row>
    <row r="4" spans="1:14" x14ac:dyDescent="0.25">
      <c r="B4" s="19" t="s">
        <v>87</v>
      </c>
      <c r="C4" s="19">
        <v>10000</v>
      </c>
      <c r="E4" s="19">
        <v>2</v>
      </c>
      <c r="F4" s="19" t="s">
        <v>91</v>
      </c>
      <c r="G4" s="19">
        <f t="shared" ref="G4:G9" si="0">VLOOKUP(F4,$B$2:$C$9,2,0)</f>
        <v>35000</v>
      </c>
    </row>
    <row r="5" spans="1:14" x14ac:dyDescent="0.25">
      <c r="B5" s="19" t="s">
        <v>88</v>
      </c>
      <c r="C5" s="19">
        <v>900000</v>
      </c>
      <c r="E5" s="19">
        <v>3</v>
      </c>
      <c r="F5" s="19" t="s">
        <v>90</v>
      </c>
      <c r="G5" s="19">
        <f t="shared" si="0"/>
        <v>400000</v>
      </c>
      <c r="J5" s="19"/>
      <c r="K5" s="19"/>
      <c r="L5" s="19" t="s">
        <v>85</v>
      </c>
    </row>
    <row r="6" spans="1:14" x14ac:dyDescent="0.25">
      <c r="B6" s="19" t="s">
        <v>89</v>
      </c>
      <c r="C6" s="19">
        <v>300000</v>
      </c>
      <c r="E6" s="19">
        <v>4</v>
      </c>
      <c r="F6" s="19" t="s">
        <v>92</v>
      </c>
      <c r="G6" s="19">
        <f t="shared" si="0"/>
        <v>1000</v>
      </c>
      <c r="J6" s="19" t="s">
        <v>94</v>
      </c>
      <c r="K6" s="19" t="s">
        <v>16</v>
      </c>
      <c r="L6" s="19" t="s">
        <v>22</v>
      </c>
    </row>
    <row r="7" spans="1:14" x14ac:dyDescent="0.25">
      <c r="B7" s="19" t="s">
        <v>90</v>
      </c>
      <c r="C7" s="19">
        <v>400000</v>
      </c>
      <c r="E7" s="19">
        <v>5</v>
      </c>
      <c r="F7" s="19" t="s">
        <v>86</v>
      </c>
      <c r="G7" s="19">
        <f t="shared" si="0"/>
        <v>40000</v>
      </c>
      <c r="J7" s="19">
        <v>1</v>
      </c>
      <c r="K7" s="19" t="s">
        <v>89</v>
      </c>
      <c r="L7" s="19">
        <f>INDEX($C$3:$C$9,MATCH(K7,$B$3:$B$9,))</f>
        <v>300000</v>
      </c>
    </row>
    <row r="8" spans="1:14" x14ac:dyDescent="0.25">
      <c r="B8" s="19" t="s">
        <v>91</v>
      </c>
      <c r="C8" s="19">
        <v>35000</v>
      </c>
      <c r="E8" s="19">
        <v>6</v>
      </c>
      <c r="F8" s="19" t="s">
        <v>88</v>
      </c>
      <c r="G8" s="19">
        <f t="shared" si="0"/>
        <v>900000</v>
      </c>
      <c r="J8" s="19">
        <v>2</v>
      </c>
      <c r="K8" s="19" t="s">
        <v>91</v>
      </c>
      <c r="L8" s="19">
        <f t="shared" ref="L8:L13" si="1">INDEX($C$3:$C$9,MATCH(K8,$B$3:$B$9,))</f>
        <v>35000</v>
      </c>
    </row>
    <row r="9" spans="1:14" x14ac:dyDescent="0.25">
      <c r="B9" s="19" t="s">
        <v>92</v>
      </c>
      <c r="C9" s="19">
        <v>1000</v>
      </c>
      <c r="E9" s="19">
        <v>7</v>
      </c>
      <c r="F9" s="19" t="s">
        <v>87</v>
      </c>
      <c r="G9" s="19">
        <f t="shared" si="0"/>
        <v>10000</v>
      </c>
      <c r="J9" s="19">
        <v>3</v>
      </c>
      <c r="K9" s="19" t="s">
        <v>90</v>
      </c>
      <c r="L9" s="19">
        <f t="shared" si="1"/>
        <v>400000</v>
      </c>
    </row>
    <row r="10" spans="1:14" x14ac:dyDescent="0.25">
      <c r="J10" s="19">
        <v>4</v>
      </c>
      <c r="K10" s="19" t="s">
        <v>92</v>
      </c>
      <c r="L10" s="19">
        <f t="shared" si="1"/>
        <v>1000</v>
      </c>
    </row>
    <row r="11" spans="1:14" x14ac:dyDescent="0.25">
      <c r="J11" s="19">
        <v>5</v>
      </c>
      <c r="K11" s="19" t="s">
        <v>86</v>
      </c>
      <c r="L11" s="19">
        <f t="shared" si="1"/>
        <v>40000</v>
      </c>
    </row>
    <row r="12" spans="1:14" x14ac:dyDescent="0.25">
      <c r="A12" s="36" t="s">
        <v>16</v>
      </c>
      <c r="B12" s="36" t="s">
        <v>86</v>
      </c>
      <c r="C12" s="36" t="s">
        <v>87</v>
      </c>
      <c r="D12" s="36" t="s">
        <v>88</v>
      </c>
      <c r="E12" s="36" t="s">
        <v>89</v>
      </c>
      <c r="F12" s="36" t="s">
        <v>90</v>
      </c>
      <c r="G12" s="36" t="s">
        <v>91</v>
      </c>
      <c r="H12" s="36" t="s">
        <v>92</v>
      </c>
      <c r="J12" s="19">
        <v>6</v>
      </c>
      <c r="K12" s="19" t="s">
        <v>88</v>
      </c>
      <c r="L12" s="19">
        <f t="shared" si="1"/>
        <v>900000</v>
      </c>
    </row>
    <row r="13" spans="1:14" x14ac:dyDescent="0.25">
      <c r="A13" s="36" t="s">
        <v>93</v>
      </c>
      <c r="B13" s="36">
        <v>40000</v>
      </c>
      <c r="C13" s="36">
        <v>10000</v>
      </c>
      <c r="D13" s="36">
        <v>900000</v>
      </c>
      <c r="E13" s="36">
        <v>300000</v>
      </c>
      <c r="F13" s="36">
        <v>400000</v>
      </c>
      <c r="G13" s="36">
        <v>35000</v>
      </c>
      <c r="H13" s="36">
        <v>1000</v>
      </c>
      <c r="J13" s="19">
        <v>7</v>
      </c>
      <c r="K13" s="19" t="s">
        <v>87</v>
      </c>
      <c r="L13" s="19">
        <f t="shared" si="1"/>
        <v>10000</v>
      </c>
    </row>
    <row r="14" spans="1:14" ht="26.25" x14ac:dyDescent="0.4">
      <c r="N14" s="37" t="s">
        <v>58</v>
      </c>
    </row>
    <row r="15" spans="1:14" x14ac:dyDescent="0.25">
      <c r="D15" s="36"/>
      <c r="E15" s="36"/>
      <c r="F15" s="36" t="s">
        <v>96</v>
      </c>
    </row>
    <row r="16" spans="1:14" x14ac:dyDescent="0.25">
      <c r="D16" s="36" t="s">
        <v>94</v>
      </c>
      <c r="E16" s="36" t="s">
        <v>16</v>
      </c>
      <c r="F16" s="36" t="s">
        <v>22</v>
      </c>
    </row>
    <row r="17" spans="4:6" x14ac:dyDescent="0.25">
      <c r="D17" s="36">
        <v>1</v>
      </c>
      <c r="E17" s="36" t="s">
        <v>92</v>
      </c>
      <c r="F17" s="36">
        <f>HLOOKUP(E17,$A$12:$H$13,2,)</f>
        <v>1000</v>
      </c>
    </row>
    <row r="18" spans="4:6" x14ac:dyDescent="0.25">
      <c r="D18" s="36">
        <v>2</v>
      </c>
      <c r="E18" s="36" t="s">
        <v>86</v>
      </c>
      <c r="F18" s="36">
        <f t="shared" ref="F18:F23" si="2">HLOOKUP(E18,$A$12:$H$13,2,)</f>
        <v>40000</v>
      </c>
    </row>
    <row r="19" spans="4:6" x14ac:dyDescent="0.25">
      <c r="D19" s="36">
        <v>3</v>
      </c>
      <c r="E19" s="36" t="s">
        <v>88</v>
      </c>
      <c r="F19" s="36">
        <f t="shared" si="2"/>
        <v>900000</v>
      </c>
    </row>
    <row r="20" spans="4:6" x14ac:dyDescent="0.25">
      <c r="D20" s="36">
        <v>4</v>
      </c>
      <c r="E20" s="36" t="s">
        <v>89</v>
      </c>
      <c r="F20" s="36">
        <f t="shared" si="2"/>
        <v>300000</v>
      </c>
    </row>
    <row r="21" spans="4:6" x14ac:dyDescent="0.25">
      <c r="D21" s="36">
        <v>5</v>
      </c>
      <c r="E21" s="36" t="s">
        <v>91</v>
      </c>
      <c r="F21" s="36">
        <f t="shared" si="2"/>
        <v>35000</v>
      </c>
    </row>
    <row r="22" spans="4:6" x14ac:dyDescent="0.25">
      <c r="D22" s="36">
        <v>6</v>
      </c>
      <c r="E22" s="36" t="s">
        <v>90</v>
      </c>
      <c r="F22" s="36">
        <f t="shared" si="2"/>
        <v>400000</v>
      </c>
    </row>
    <row r="23" spans="4:6" x14ac:dyDescent="0.25">
      <c r="D23" s="36">
        <v>7</v>
      </c>
      <c r="E23" s="36" t="s">
        <v>87</v>
      </c>
      <c r="F23" s="36">
        <f t="shared" si="2"/>
        <v>10000</v>
      </c>
    </row>
  </sheetData>
  <hyperlinks>
    <hyperlink ref="N14" location="MENU!A1" display="VOLTAR AO MENU" xr:uid="{FA4D2C86-61C1-4BFA-B19E-3FACF8E85903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F0B9-48B1-4D1A-A4FC-F61C024FE053}">
  <dimension ref="B2:I22"/>
  <sheetViews>
    <sheetView workbookViewId="0">
      <selection activeCell="I12" sqref="I12"/>
    </sheetView>
  </sheetViews>
  <sheetFormatPr defaultRowHeight="15" x14ac:dyDescent="0.25"/>
  <cols>
    <col min="4" max="4" width="9.5703125" customWidth="1"/>
    <col min="5" max="5" width="53.28515625" bestFit="1" customWidth="1"/>
    <col min="6" max="6" width="2.28515625" customWidth="1"/>
    <col min="7" max="7" width="35.42578125" bestFit="1" customWidth="1"/>
    <col min="9" max="9" width="30" bestFit="1" customWidth="1"/>
  </cols>
  <sheetData>
    <row r="2" spans="2:9" x14ac:dyDescent="0.25">
      <c r="B2" s="1" t="s">
        <v>40</v>
      </c>
      <c r="C2" s="1" t="s">
        <v>41</v>
      </c>
      <c r="D2" s="1" t="s">
        <v>50</v>
      </c>
      <c r="E2" s="23" t="s">
        <v>53</v>
      </c>
      <c r="F2" s="24"/>
      <c r="G2" s="23" t="s">
        <v>55</v>
      </c>
    </row>
    <row r="3" spans="2:9" x14ac:dyDescent="0.25">
      <c r="B3" s="1" t="s">
        <v>42</v>
      </c>
      <c r="C3" s="1">
        <v>34</v>
      </c>
      <c r="D3" s="1" t="s">
        <v>51</v>
      </c>
      <c r="E3" s="24" t="b">
        <f t="shared" ref="E3:E11" si="0">AND(C3&gt;=20,D3="SP")</f>
        <v>1</v>
      </c>
      <c r="F3" s="24"/>
      <c r="G3" s="24" t="str">
        <f>IF(Tabela1[[#This Row],[idade]]&gt;=18,"Maior de idade","Menor de idade")</f>
        <v>Maior de idade</v>
      </c>
    </row>
    <row r="4" spans="2:9" x14ac:dyDescent="0.25">
      <c r="B4" s="1" t="s">
        <v>43</v>
      </c>
      <c r="C4" s="1">
        <v>23</v>
      </c>
      <c r="D4" s="1" t="s">
        <v>52</v>
      </c>
      <c r="E4" s="24" t="b">
        <f t="shared" si="0"/>
        <v>0</v>
      </c>
      <c r="F4" s="24"/>
      <c r="G4" s="24" t="str">
        <f>IF(Tabela1[[#This Row],[idade]]&gt;=18,"Maior de idade","Menor de idade")</f>
        <v>Maior de idade</v>
      </c>
    </row>
    <row r="5" spans="2:9" x14ac:dyDescent="0.25">
      <c r="B5" s="1" t="s">
        <v>44</v>
      </c>
      <c r="C5" s="1">
        <v>17</v>
      </c>
      <c r="D5" s="1" t="s">
        <v>52</v>
      </c>
      <c r="E5" s="24" t="b">
        <f t="shared" si="0"/>
        <v>0</v>
      </c>
      <c r="F5" s="24"/>
      <c r="G5" s="24" t="str">
        <f>IF(Tabela1[[#This Row],[idade]]&gt;=18,"Maior de idade","Menor de idade")</f>
        <v>Menor de idade</v>
      </c>
    </row>
    <row r="6" spans="2:9" x14ac:dyDescent="0.25">
      <c r="B6" s="1" t="s">
        <v>45</v>
      </c>
      <c r="C6" s="1">
        <v>50</v>
      </c>
      <c r="D6" s="1" t="s">
        <v>52</v>
      </c>
      <c r="E6" s="24" t="b">
        <f t="shared" si="0"/>
        <v>0</v>
      </c>
      <c r="F6" s="24"/>
      <c r="G6" s="24" t="str">
        <f>IF(Tabela1[[#This Row],[idade]]&gt;=18,"Maior de idade","Menor de idade")</f>
        <v>Maior de idade</v>
      </c>
    </row>
    <row r="7" spans="2:9" x14ac:dyDescent="0.25">
      <c r="B7" s="1" t="s">
        <v>46</v>
      </c>
      <c r="C7" s="1">
        <v>86</v>
      </c>
      <c r="D7" s="1" t="s">
        <v>52</v>
      </c>
      <c r="E7" s="24" t="b">
        <f t="shared" si="0"/>
        <v>0</v>
      </c>
      <c r="F7" s="24"/>
      <c r="G7" s="24" t="str">
        <f>IF(Tabela1[[#This Row],[idade]]&gt;=18,"Maior de idade","Menor de idade")</f>
        <v>Maior de idade</v>
      </c>
    </row>
    <row r="8" spans="2:9" x14ac:dyDescent="0.25">
      <c r="B8" s="1" t="s">
        <v>47</v>
      </c>
      <c r="C8" s="1">
        <v>45</v>
      </c>
      <c r="D8" s="1" t="s">
        <v>51</v>
      </c>
      <c r="E8" s="24" t="b">
        <f t="shared" si="0"/>
        <v>1</v>
      </c>
      <c r="F8" s="24"/>
      <c r="G8" s="24" t="str">
        <f>IF(Tabela1[[#This Row],[idade]]&gt;=18,"Maior de idade","Menor de idade")</f>
        <v>Maior de idade</v>
      </c>
    </row>
    <row r="9" spans="2:9" x14ac:dyDescent="0.25">
      <c r="B9" s="1" t="s">
        <v>48</v>
      </c>
      <c r="C9" s="1">
        <v>13</v>
      </c>
      <c r="D9" s="1" t="s">
        <v>51</v>
      </c>
      <c r="E9" s="24" t="b">
        <f t="shared" si="0"/>
        <v>0</v>
      </c>
      <c r="F9" s="24"/>
      <c r="G9" s="24" t="str">
        <f>IF(Tabela1[[#This Row],[idade]]&gt;=18,"Maior de idade","Menor de idade")</f>
        <v>Menor de idade</v>
      </c>
    </row>
    <row r="10" spans="2:9" x14ac:dyDescent="0.25">
      <c r="B10" s="1" t="s">
        <v>49</v>
      </c>
      <c r="C10" s="1">
        <v>5</v>
      </c>
      <c r="D10" s="1" t="s">
        <v>51</v>
      </c>
      <c r="E10" s="24" t="b">
        <f t="shared" si="0"/>
        <v>0</v>
      </c>
      <c r="F10" s="24"/>
      <c r="G10" s="24" t="str">
        <f>IF(Tabela1[[#This Row],[idade]]&gt;=18,"Maior de idade","Menor de idade")</f>
        <v>Menor de idade</v>
      </c>
    </row>
    <row r="11" spans="2:9" x14ac:dyDescent="0.25">
      <c r="B11" s="1" t="s">
        <v>54</v>
      </c>
      <c r="C11" s="1">
        <v>20</v>
      </c>
      <c r="D11" s="1" t="s">
        <v>51</v>
      </c>
      <c r="E11" s="24" t="b">
        <f t="shared" si="0"/>
        <v>1</v>
      </c>
      <c r="F11" s="24"/>
      <c r="G11" s="24" t="str">
        <f>IF(Tabela1[[#This Row],[idade]]&gt;=18,"Maior de idade","Menor de idade")</f>
        <v>Maior de idade</v>
      </c>
    </row>
    <row r="12" spans="2:9" ht="26.25" x14ac:dyDescent="0.4">
      <c r="I12" s="26" t="s">
        <v>58</v>
      </c>
    </row>
    <row r="13" spans="2:9" x14ac:dyDescent="0.25">
      <c r="E13" s="23" t="s">
        <v>56</v>
      </c>
      <c r="G13" s="23" t="s">
        <v>57</v>
      </c>
    </row>
    <row r="14" spans="2:9" x14ac:dyDescent="0.25">
      <c r="E14" t="b">
        <f>OR(C3&gt;=40,D3="RJ")</f>
        <v>0</v>
      </c>
      <c r="G14" t="b">
        <f>NOT(E14)</f>
        <v>1</v>
      </c>
    </row>
    <row r="15" spans="2:9" x14ac:dyDescent="0.25">
      <c r="E15" t="b">
        <f t="shared" ref="E15:E22" si="1">OR(C4&gt;=40,D4="RJ")</f>
        <v>1</v>
      </c>
      <c r="G15" t="b">
        <f t="shared" ref="G15:G22" si="2">NOT(E15)</f>
        <v>0</v>
      </c>
    </row>
    <row r="16" spans="2:9" x14ac:dyDescent="0.25">
      <c r="E16" t="b">
        <f t="shared" si="1"/>
        <v>1</v>
      </c>
      <c r="G16" t="b">
        <f t="shared" si="2"/>
        <v>0</v>
      </c>
    </row>
    <row r="17" spans="5:7" x14ac:dyDescent="0.25">
      <c r="E17" t="b">
        <f t="shared" si="1"/>
        <v>1</v>
      </c>
      <c r="G17" t="b">
        <f t="shared" si="2"/>
        <v>0</v>
      </c>
    </row>
    <row r="18" spans="5:7" x14ac:dyDescent="0.25">
      <c r="E18" t="b">
        <f t="shared" si="1"/>
        <v>1</v>
      </c>
      <c r="G18" t="b">
        <f t="shared" si="2"/>
        <v>0</v>
      </c>
    </row>
    <row r="19" spans="5:7" x14ac:dyDescent="0.25">
      <c r="E19" t="b">
        <f t="shared" si="1"/>
        <v>1</v>
      </c>
      <c r="G19" t="b">
        <f t="shared" si="2"/>
        <v>0</v>
      </c>
    </row>
    <row r="20" spans="5:7" x14ac:dyDescent="0.25">
      <c r="E20" t="b">
        <f t="shared" si="1"/>
        <v>0</v>
      </c>
      <c r="G20" t="b">
        <f t="shared" si="2"/>
        <v>1</v>
      </c>
    </row>
    <row r="21" spans="5:7" x14ac:dyDescent="0.25">
      <c r="E21" t="b">
        <f t="shared" si="1"/>
        <v>0</v>
      </c>
      <c r="G21" t="b">
        <f t="shared" si="2"/>
        <v>1</v>
      </c>
    </row>
    <row r="22" spans="5:7" x14ac:dyDescent="0.25">
      <c r="E22" t="b">
        <f t="shared" si="1"/>
        <v>0</v>
      </c>
      <c r="G22" t="b">
        <f t="shared" si="2"/>
        <v>1</v>
      </c>
    </row>
  </sheetData>
  <hyperlinks>
    <hyperlink ref="I12" location="MENU!A1" display="VOLTAR AO MENU" xr:uid="{295460A7-1838-4D8C-9B3A-F7E193BEAEB2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D976-6F3C-46AD-B698-6EDAC76C9430}">
  <dimension ref="B2:J10"/>
  <sheetViews>
    <sheetView workbookViewId="0">
      <selection activeCell="J10" sqref="J10"/>
    </sheetView>
  </sheetViews>
  <sheetFormatPr defaultRowHeight="15" x14ac:dyDescent="0.25"/>
  <cols>
    <col min="2" max="2" width="13.42578125" bestFit="1" customWidth="1"/>
    <col min="3" max="3" width="11.140625" bestFit="1" customWidth="1"/>
    <col min="4" max="4" width="15.42578125" bestFit="1" customWidth="1"/>
    <col min="6" max="6" width="11.140625" customWidth="1"/>
    <col min="7" max="7" width="13.42578125" bestFit="1" customWidth="1"/>
    <col min="8" max="8" width="22.85546875" bestFit="1" customWidth="1"/>
    <col min="10" max="10" width="30.5703125" bestFit="1" customWidth="1"/>
    <col min="11" max="11" width="13.42578125" bestFit="1" customWidth="1"/>
    <col min="12" max="12" width="8.42578125" bestFit="1" customWidth="1"/>
  </cols>
  <sheetData>
    <row r="2" spans="2:10" x14ac:dyDescent="0.25">
      <c r="B2" t="s">
        <v>59</v>
      </c>
      <c r="C2" s="18" t="s">
        <v>60</v>
      </c>
      <c r="D2" t="s">
        <v>61</v>
      </c>
      <c r="F2" s="22" t="s">
        <v>70</v>
      </c>
      <c r="G2" s="22" t="s">
        <v>16</v>
      </c>
      <c r="H2" s="22" t="s">
        <v>22</v>
      </c>
    </row>
    <row r="3" spans="2:10" x14ac:dyDescent="0.25">
      <c r="B3" t="s">
        <v>62</v>
      </c>
      <c r="C3" s="18">
        <v>70</v>
      </c>
      <c r="D3" t="s">
        <v>67</v>
      </c>
      <c r="F3" s="22">
        <v>1</v>
      </c>
      <c r="G3" s="22" t="s">
        <v>62</v>
      </c>
      <c r="H3" s="22">
        <f>IFERROR(VLOOKUP(Tabela3[[#This Row],[produto]],Tabela2[],2,0),"produto não encontrado")</f>
        <v>70</v>
      </c>
    </row>
    <row r="4" spans="2:10" x14ac:dyDescent="0.25">
      <c r="B4" t="s">
        <v>63</v>
      </c>
      <c r="C4" s="18">
        <v>90</v>
      </c>
      <c r="D4" t="s">
        <v>67</v>
      </c>
      <c r="F4" s="22">
        <v>2</v>
      </c>
      <c r="G4" s="22" t="s">
        <v>65</v>
      </c>
      <c r="H4" s="22">
        <f>IFERROR(VLOOKUP(Tabela3[[#This Row],[produto]],Tabela2[],2,0),"produto não encontrado")</f>
        <v>240</v>
      </c>
    </row>
    <row r="5" spans="2:10" x14ac:dyDescent="0.25">
      <c r="B5" t="s">
        <v>64</v>
      </c>
      <c r="C5" s="18">
        <v>140</v>
      </c>
      <c r="D5" t="s">
        <v>68</v>
      </c>
      <c r="F5" s="22">
        <v>3</v>
      </c>
      <c r="G5" s="22" t="s">
        <v>71</v>
      </c>
      <c r="H5" s="22">
        <f>IFERROR(VLOOKUP(Tabela3[[#This Row],[produto]],Tabela2[],2,0),"produto não encontrado")</f>
        <v>290</v>
      </c>
    </row>
    <row r="6" spans="2:10" x14ac:dyDescent="0.25">
      <c r="B6" t="s">
        <v>65</v>
      </c>
      <c r="C6" s="18">
        <v>240</v>
      </c>
      <c r="D6" t="s">
        <v>69</v>
      </c>
      <c r="F6" s="22">
        <v>4</v>
      </c>
      <c r="G6" s="22" t="s">
        <v>65</v>
      </c>
      <c r="H6" s="22">
        <f>IFERROR(VLOOKUP(Tabela3[[#This Row],[produto]],Tabela2[],2,0),"produto não encontrado")</f>
        <v>240</v>
      </c>
    </row>
    <row r="7" spans="2:10" x14ac:dyDescent="0.25">
      <c r="B7" t="s">
        <v>66</v>
      </c>
      <c r="C7" s="18">
        <v>290</v>
      </c>
      <c r="D7" t="s">
        <v>69</v>
      </c>
      <c r="F7" s="22">
        <v>5</v>
      </c>
      <c r="G7" s="22" t="s">
        <v>73</v>
      </c>
      <c r="H7" s="22" t="str">
        <f>IFERROR(VLOOKUP(Tabela3[[#This Row],[produto]],Tabela2[],2,0),"produto não encontrado")</f>
        <v>produto não encontrado</v>
      </c>
    </row>
    <row r="8" spans="2:10" x14ac:dyDescent="0.25">
      <c r="F8" s="22">
        <v>6</v>
      </c>
      <c r="G8" s="22" t="s">
        <v>72</v>
      </c>
      <c r="H8" s="22" t="str">
        <f>IFERROR(VLOOKUP(Tabela3[[#This Row],[produto]],Tabela2[],2,0),"produto não encontrado")</f>
        <v>produto não encontrado</v>
      </c>
    </row>
    <row r="10" spans="2:10" ht="26.25" x14ac:dyDescent="0.4">
      <c r="J10" s="26" t="s">
        <v>58</v>
      </c>
    </row>
  </sheetData>
  <hyperlinks>
    <hyperlink ref="J10" location="MENU!A1" display="VOLTAR AO MENU" xr:uid="{070837B3-CB75-4F4B-A48B-E07798D3945C}"/>
  </hyperlink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91FB-1E5A-47D4-B930-B7503A8912E3}">
  <dimension ref="B2:I20"/>
  <sheetViews>
    <sheetView workbookViewId="0">
      <selection activeCell="I20" sqref="I20"/>
    </sheetView>
  </sheetViews>
  <sheetFormatPr defaultRowHeight="15" x14ac:dyDescent="0.25"/>
  <cols>
    <col min="2" max="2" width="10.42578125" customWidth="1"/>
    <col min="3" max="3" width="9.7109375" bestFit="1" customWidth="1"/>
    <col min="4" max="4" width="10.28515625" customWidth="1"/>
    <col min="5" max="5" width="28" bestFit="1" customWidth="1"/>
    <col min="6" max="6" width="28.5703125" bestFit="1" customWidth="1"/>
    <col min="7" max="7" width="29.140625" bestFit="1" customWidth="1"/>
    <col min="8" max="8" width="16" bestFit="1" customWidth="1"/>
    <col min="9" max="9" width="30.5703125" bestFit="1" customWidth="1"/>
  </cols>
  <sheetData>
    <row r="2" spans="2:8" ht="18.75" x14ac:dyDescent="0.3">
      <c r="B2" s="27" t="s">
        <v>80</v>
      </c>
      <c r="C2" s="27" t="s">
        <v>80</v>
      </c>
      <c r="E2" s="27" t="s">
        <v>76</v>
      </c>
      <c r="F2" s="27" t="s">
        <v>77</v>
      </c>
      <c r="G2" s="27" t="s">
        <v>78</v>
      </c>
      <c r="H2" s="27" t="s">
        <v>79</v>
      </c>
    </row>
    <row r="3" spans="2:8" x14ac:dyDescent="0.25">
      <c r="B3" s="28">
        <v>51</v>
      </c>
      <c r="C3" s="31">
        <v>486</v>
      </c>
      <c r="E3" s="29">
        <f>SUMIF(B:B,"&lt;50",B:B)</f>
        <v>183</v>
      </c>
      <c r="F3" s="28">
        <f>AVERAGEIF(B:B,"&gt;50",B:B)</f>
        <v>78.571428571428569</v>
      </c>
      <c r="G3" s="28">
        <f>COUNTIF(B:B,"&gt;50")</f>
        <v>7</v>
      </c>
      <c r="H3" s="29">
        <f>COUNTIF(B:B,"&lt;50")</f>
        <v>10</v>
      </c>
    </row>
    <row r="4" spans="2:8" x14ac:dyDescent="0.25">
      <c r="B4" s="29">
        <v>2</v>
      </c>
      <c r="C4" s="34">
        <v>957</v>
      </c>
      <c r="E4" s="22"/>
      <c r="F4" s="22"/>
      <c r="G4" s="22"/>
      <c r="H4" s="22"/>
    </row>
    <row r="5" spans="2:8" ht="18.75" x14ac:dyDescent="0.3">
      <c r="B5" s="29">
        <v>47</v>
      </c>
      <c r="C5" s="34">
        <v>951</v>
      </c>
      <c r="E5" s="27" t="s">
        <v>81</v>
      </c>
      <c r="F5" s="27" t="s">
        <v>82</v>
      </c>
      <c r="G5" s="27" t="s">
        <v>83</v>
      </c>
      <c r="H5" s="22"/>
    </row>
    <row r="6" spans="2:8" x14ac:dyDescent="0.25">
      <c r="B6" s="28">
        <v>67</v>
      </c>
      <c r="C6" s="32">
        <v>637</v>
      </c>
      <c r="E6" s="30">
        <f>SUMIFS(C:C,C:C,"&gt;199",C:C,"&lt;500")</f>
        <v>2537</v>
      </c>
      <c r="F6" s="33">
        <f>AVERAGEIFS(C:C,C:C,"&gt;600",C:C,"&lt;700")</f>
        <v>663</v>
      </c>
      <c r="G6" s="35">
        <f>COUNTIFS(C:C,"&gt;800",C:C,"&lt;1000")</f>
        <v>6</v>
      </c>
      <c r="H6" s="22"/>
    </row>
    <row r="7" spans="2:8" x14ac:dyDescent="0.25">
      <c r="B7" s="29">
        <v>21</v>
      </c>
      <c r="C7" s="24">
        <v>729</v>
      </c>
      <c r="E7" s="22"/>
      <c r="F7" s="22"/>
      <c r="G7" s="22"/>
      <c r="H7" s="22"/>
    </row>
    <row r="8" spans="2:8" x14ac:dyDescent="0.25">
      <c r="B8" s="29">
        <v>2</v>
      </c>
      <c r="C8" s="24">
        <v>526</v>
      </c>
      <c r="E8" s="22"/>
      <c r="F8" s="22"/>
      <c r="G8" s="22"/>
      <c r="H8" s="22"/>
    </row>
    <row r="9" spans="2:8" x14ac:dyDescent="0.25">
      <c r="B9" s="29">
        <v>20</v>
      </c>
      <c r="C9" s="34">
        <v>802</v>
      </c>
      <c r="E9" s="22"/>
      <c r="F9" s="22"/>
      <c r="G9" s="22"/>
      <c r="H9" s="22"/>
    </row>
    <row r="10" spans="2:8" x14ac:dyDescent="0.25">
      <c r="B10" s="28">
        <v>59</v>
      </c>
      <c r="C10" s="31">
        <v>439</v>
      </c>
      <c r="E10" s="22"/>
      <c r="F10" s="22"/>
      <c r="G10" s="22"/>
      <c r="H10" s="22"/>
    </row>
    <row r="11" spans="2:8" x14ac:dyDescent="0.25">
      <c r="B11" s="28">
        <v>96</v>
      </c>
      <c r="C11" s="34">
        <v>813</v>
      </c>
      <c r="E11" s="22"/>
      <c r="F11" s="22"/>
      <c r="G11" s="22"/>
      <c r="H11" s="22"/>
    </row>
    <row r="12" spans="2:8" x14ac:dyDescent="0.25">
      <c r="B12" s="28">
        <v>100</v>
      </c>
      <c r="C12" s="34">
        <v>828</v>
      </c>
      <c r="E12" s="22"/>
      <c r="F12" s="22"/>
      <c r="G12" s="22"/>
      <c r="H12" s="22"/>
    </row>
    <row r="13" spans="2:8" x14ac:dyDescent="0.25">
      <c r="B13" s="28">
        <v>100</v>
      </c>
      <c r="C13" s="32">
        <v>689</v>
      </c>
      <c r="E13" s="22"/>
      <c r="F13" s="22"/>
      <c r="G13" s="22"/>
      <c r="H13" s="22"/>
    </row>
    <row r="14" spans="2:8" x14ac:dyDescent="0.25">
      <c r="B14" s="29">
        <v>38</v>
      </c>
      <c r="C14" s="31">
        <v>389</v>
      </c>
      <c r="E14" s="22"/>
      <c r="F14" s="22"/>
      <c r="G14" s="22"/>
      <c r="H14" s="22"/>
    </row>
    <row r="15" spans="2:8" x14ac:dyDescent="0.25">
      <c r="B15" s="29">
        <v>6</v>
      </c>
      <c r="C15" s="34">
        <v>863</v>
      </c>
      <c r="E15" s="22"/>
      <c r="F15" s="22"/>
      <c r="G15" s="22"/>
      <c r="H15" s="22"/>
    </row>
    <row r="16" spans="2:8" x14ac:dyDescent="0.25">
      <c r="B16" s="28">
        <v>77</v>
      </c>
      <c r="C16" s="31">
        <v>228</v>
      </c>
      <c r="E16" s="22"/>
      <c r="F16" s="22"/>
      <c r="G16" s="22"/>
      <c r="H16" s="22"/>
    </row>
    <row r="17" spans="2:9" x14ac:dyDescent="0.25">
      <c r="B17" s="29">
        <v>23</v>
      </c>
      <c r="C17" s="31">
        <v>223</v>
      </c>
      <c r="E17" s="22"/>
      <c r="F17" s="22"/>
      <c r="G17" s="22"/>
      <c r="H17" s="22"/>
    </row>
    <row r="18" spans="2:9" x14ac:dyDescent="0.25">
      <c r="B18" s="29">
        <v>2</v>
      </c>
      <c r="C18" s="31">
        <v>317</v>
      </c>
      <c r="E18" s="22"/>
      <c r="F18" s="22"/>
      <c r="G18" s="22"/>
      <c r="H18" s="22"/>
    </row>
    <row r="19" spans="2:9" x14ac:dyDescent="0.25">
      <c r="B19" s="29">
        <v>22</v>
      </c>
      <c r="C19" s="31">
        <v>455</v>
      </c>
      <c r="E19" s="22"/>
      <c r="F19" s="22"/>
      <c r="G19" s="22"/>
      <c r="H19" s="22"/>
    </row>
    <row r="20" spans="2:9" ht="26.25" x14ac:dyDescent="0.4">
      <c r="B20" s="22"/>
      <c r="C20" s="22"/>
      <c r="D20" s="22"/>
      <c r="E20" s="22"/>
      <c r="F20" s="22"/>
      <c r="G20" s="22"/>
      <c r="I20" s="26" t="s">
        <v>58</v>
      </c>
    </row>
  </sheetData>
  <hyperlinks>
    <hyperlink ref="I20" location="MENU!A1" display="VOLTAR AO MENU" xr:uid="{92B8C877-8B3C-4BBE-B5FF-3D545045A0C6}"/>
  </hyperlink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E8E9-59B9-4C23-9BC7-C4D43916EA3B}">
  <dimension ref="A1:G15"/>
  <sheetViews>
    <sheetView workbookViewId="0">
      <selection activeCell="G15" sqref="G15"/>
    </sheetView>
  </sheetViews>
  <sheetFormatPr defaultRowHeight="15" x14ac:dyDescent="0.25"/>
  <cols>
    <col min="1" max="4" width="9.140625" style="1"/>
    <col min="5" max="5" width="28.28515625" style="1" bestFit="1" customWidth="1"/>
    <col min="6" max="6" width="9.140625" style="1"/>
    <col min="7" max="7" width="30.5703125" style="1" bestFit="1" customWidth="1"/>
    <col min="8" max="16384" width="9.140625" style="1"/>
  </cols>
  <sheetData>
    <row r="1" spans="1:7" x14ac:dyDescent="0.25">
      <c r="A1" s="1" t="s">
        <v>0</v>
      </c>
      <c r="B1" s="1">
        <v>10000</v>
      </c>
      <c r="D1" s="2">
        <f ca="1">SUM(OFFSET(B1,COUNTA(B1:B99)-3,0,3,1))</f>
        <v>140000</v>
      </c>
      <c r="E1" s="2" t="s">
        <v>13</v>
      </c>
    </row>
    <row r="2" spans="1:7" x14ac:dyDescent="0.25">
      <c r="A2" s="1" t="s">
        <v>1</v>
      </c>
      <c r="B2" s="1">
        <v>20000</v>
      </c>
      <c r="D2" s="3">
        <f ca="1">SUM(OFFSET(B1,5,1,4,1))</f>
        <v>10000</v>
      </c>
      <c r="E2" s="3" t="s">
        <v>12</v>
      </c>
    </row>
    <row r="3" spans="1:7" x14ac:dyDescent="0.25">
      <c r="A3" s="1" t="s">
        <v>2</v>
      </c>
      <c r="B3" s="1">
        <v>10000</v>
      </c>
    </row>
    <row r="4" spans="1:7" x14ac:dyDescent="0.25">
      <c r="A4" s="1" t="s">
        <v>3</v>
      </c>
      <c r="B4" s="1">
        <v>20000</v>
      </c>
    </row>
    <row r="5" spans="1:7" x14ac:dyDescent="0.25">
      <c r="A5" s="1" t="s">
        <v>4</v>
      </c>
      <c r="B5" s="1">
        <v>20000</v>
      </c>
    </row>
    <row r="6" spans="1:7" x14ac:dyDescent="0.25">
      <c r="A6" s="1" t="s">
        <v>5</v>
      </c>
      <c r="B6" s="1">
        <v>22000</v>
      </c>
      <c r="C6" s="3">
        <v>1000</v>
      </c>
    </row>
    <row r="7" spans="1:7" x14ac:dyDescent="0.25">
      <c r="A7" s="1" t="s">
        <v>6</v>
      </c>
      <c r="B7" s="1">
        <v>24000</v>
      </c>
      <c r="C7" s="3">
        <v>2000</v>
      </c>
    </row>
    <row r="8" spans="1:7" x14ac:dyDescent="0.25">
      <c r="A8" s="1" t="s">
        <v>7</v>
      </c>
      <c r="B8" s="1">
        <v>26000</v>
      </c>
      <c r="C8" s="3">
        <v>3000</v>
      </c>
    </row>
    <row r="9" spans="1:7" x14ac:dyDescent="0.25">
      <c r="A9" s="1" t="s">
        <v>8</v>
      </c>
      <c r="B9" s="1">
        <v>28000</v>
      </c>
      <c r="C9" s="3">
        <v>4000</v>
      </c>
      <c r="E9" s="4" t="s">
        <v>15</v>
      </c>
    </row>
    <row r="10" spans="1:7" x14ac:dyDescent="0.25">
      <c r="A10" s="1" t="s">
        <v>9</v>
      </c>
      <c r="B10" s="1">
        <v>30000</v>
      </c>
    </row>
    <row r="11" spans="1:7" x14ac:dyDescent="0.25">
      <c r="A11" s="1" t="s">
        <v>10</v>
      </c>
      <c r="B11" s="2">
        <v>32000</v>
      </c>
    </row>
    <row r="12" spans="1:7" x14ac:dyDescent="0.25">
      <c r="A12" s="1" t="s">
        <v>11</v>
      </c>
      <c r="B12" s="2">
        <v>34000</v>
      </c>
    </row>
    <row r="13" spans="1:7" x14ac:dyDescent="0.25">
      <c r="A13" s="1" t="s">
        <v>0</v>
      </c>
      <c r="B13" s="2">
        <v>90000</v>
      </c>
    </row>
    <row r="14" spans="1:7" x14ac:dyDescent="0.25">
      <c r="A14" s="1" t="s">
        <v>1</v>
      </c>
      <c r="B14" s="2">
        <v>16000</v>
      </c>
      <c r="C14" s="1" t="s">
        <v>14</v>
      </c>
    </row>
    <row r="15" spans="1:7" ht="26.25" x14ac:dyDescent="0.4">
      <c r="G15" s="26" t="s">
        <v>58</v>
      </c>
    </row>
  </sheetData>
  <phoneticPr fontId="1" type="noConversion"/>
  <hyperlinks>
    <hyperlink ref="G15" location="MENU!A1" display="VOLTAR AO MENU" xr:uid="{24586955-272E-4E86-9614-12030EE62B16}"/>
  </hyperlink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A3DF-4C73-45EC-9D35-97CB72F25F3A}">
  <dimension ref="B2:O15"/>
  <sheetViews>
    <sheetView workbookViewId="0"/>
  </sheetViews>
  <sheetFormatPr defaultRowHeight="15" x14ac:dyDescent="0.25"/>
  <cols>
    <col min="2" max="2" width="10.28515625" customWidth="1"/>
    <col min="3" max="3" width="13.28515625" customWidth="1"/>
    <col min="4" max="4" width="15.7109375" customWidth="1"/>
    <col min="12" max="12" width="5.7109375" customWidth="1"/>
    <col min="13" max="13" width="15.42578125" customWidth="1"/>
  </cols>
  <sheetData>
    <row r="2" spans="2:15" x14ac:dyDescent="0.25">
      <c r="B2" s="5" t="s">
        <v>16</v>
      </c>
      <c r="C2" s="6" t="s">
        <v>17</v>
      </c>
      <c r="D2" s="7" t="s">
        <v>18</v>
      </c>
    </row>
    <row r="3" spans="2:15" x14ac:dyDescent="0.25">
      <c r="B3" s="8" t="s">
        <v>19</v>
      </c>
      <c r="C3" s="9">
        <v>10</v>
      </c>
      <c r="D3" s="10">
        <v>5</v>
      </c>
      <c r="E3">
        <f>C3*D3</f>
        <v>50</v>
      </c>
      <c r="F3">
        <f t="array" ref="F3">SUMPRODUCT((B3:B8="pêra")*C3:C8*D3:D8)</f>
        <v>700</v>
      </c>
      <c r="G3">
        <f t="array" ref="G3">SUMPRODUCT((C3:C8&gt;25)*C3:C8*D3:D8)/SUMPRODUCT((C3:C8&gt;25)*C3:C8)</f>
        <v>11.388888888888889</v>
      </c>
      <c r="H3">
        <f t="array" ref="H3">MAX(IF(B3:B8="pêra",D3:D8))</f>
        <v>10</v>
      </c>
      <c r="I3" cm="1">
        <f t="array" ref="I3">INDEX(C3:C8,MATCH(1,(B3:B8="maçã")*(D3:D8=5),0))</f>
        <v>10</v>
      </c>
      <c r="J3" t="e">
        <f t="array" aca="1" ref="J3" ca="1">ORDENAR(B3:D8)</f>
        <v>#NAME?</v>
      </c>
    </row>
    <row r="4" spans="2:15" x14ac:dyDescent="0.25">
      <c r="B4" s="11" t="s">
        <v>20</v>
      </c>
      <c r="C4" s="12">
        <v>20</v>
      </c>
      <c r="D4" s="13">
        <v>10</v>
      </c>
      <c r="E4">
        <f t="shared" ref="E4:E8" si="0">C4*D4</f>
        <v>200</v>
      </c>
      <c r="F4" cm="1">
        <f t="array" ref="F4">SUMPRODUCT(C3:C8*D3:D8)</f>
        <v>2300</v>
      </c>
      <c r="H4" cm="1">
        <f t="array" ref="H4">MIN(IF(B3:B8="pêra",C3:C8))</f>
        <v>20</v>
      </c>
      <c r="M4" s="1" t="s">
        <v>102</v>
      </c>
      <c r="N4" s="1" t="s">
        <v>103</v>
      </c>
      <c r="O4" s="1" t="s">
        <v>104</v>
      </c>
    </row>
    <row r="5" spans="2:15" x14ac:dyDescent="0.25">
      <c r="B5" s="8" t="s">
        <v>21</v>
      </c>
      <c r="C5" s="9">
        <v>30</v>
      </c>
      <c r="D5" s="10">
        <v>15</v>
      </c>
      <c r="E5">
        <f t="shared" si="0"/>
        <v>450</v>
      </c>
      <c r="M5" s="1">
        <v>2</v>
      </c>
      <c r="N5" s="1">
        <v>10</v>
      </c>
      <c r="O5" s="1">
        <f>Tabela5[[#This Row],[V1]]*Tabela5[[#This Row],[V2]]</f>
        <v>20</v>
      </c>
    </row>
    <row r="6" spans="2:15" x14ac:dyDescent="0.25">
      <c r="B6" s="11" t="s">
        <v>19</v>
      </c>
      <c r="C6" s="12">
        <v>40</v>
      </c>
      <c r="D6" s="13">
        <v>5</v>
      </c>
      <c r="E6">
        <f t="shared" si="0"/>
        <v>200</v>
      </c>
      <c r="G6" t="str" cm="1">
        <f t="array" ref="G6:I9">_xlfn._xlws.FILTER(B3:D8,(C3:C8&gt;30)+(D3:D8=5),"Nenhum dado encontrado")</f>
        <v>maçã</v>
      </c>
      <c r="H6">
        <v>10</v>
      </c>
      <c r="I6">
        <v>5</v>
      </c>
      <c r="M6" s="1">
        <v>3</v>
      </c>
      <c r="N6" s="1">
        <v>20</v>
      </c>
      <c r="O6" s="1">
        <f>Tabela5[[#This Row],[V1]]*Tabela5[[#This Row],[V2]]</f>
        <v>60</v>
      </c>
    </row>
    <row r="7" spans="2:15" x14ac:dyDescent="0.25">
      <c r="B7" s="8" t="s">
        <v>20</v>
      </c>
      <c r="C7" s="9">
        <v>50</v>
      </c>
      <c r="D7" s="10">
        <v>10</v>
      </c>
      <c r="E7">
        <f t="shared" si="0"/>
        <v>500</v>
      </c>
      <c r="G7" t="str">
        <v>maçã</v>
      </c>
      <c r="H7">
        <v>40</v>
      </c>
      <c r="I7">
        <v>5</v>
      </c>
      <c r="M7" s="1">
        <v>4</v>
      </c>
      <c r="N7" s="1">
        <v>30</v>
      </c>
      <c r="O7" s="1">
        <f>Tabela5[[#This Row],[V1]]*Tabela5[[#This Row],[V2]]</f>
        <v>120</v>
      </c>
    </row>
    <row r="8" spans="2:15" x14ac:dyDescent="0.25">
      <c r="B8" s="14" t="s">
        <v>21</v>
      </c>
      <c r="C8" s="15">
        <v>60</v>
      </c>
      <c r="D8" s="16">
        <v>15</v>
      </c>
      <c r="E8">
        <f t="shared" si="0"/>
        <v>900</v>
      </c>
      <c r="G8" t="str">
        <v>pêra</v>
      </c>
      <c r="H8">
        <v>50</v>
      </c>
      <c r="I8">
        <v>10</v>
      </c>
      <c r="M8" s="1">
        <v>5</v>
      </c>
      <c r="N8" s="1">
        <v>40</v>
      </c>
      <c r="O8" s="1">
        <f>Tabela5[[#This Row],[V1]]*Tabela5[[#This Row],[V2]]</f>
        <v>200</v>
      </c>
    </row>
    <row r="9" spans="2:15" x14ac:dyDescent="0.25">
      <c r="E9">
        <f>SUM(E3:E8)</f>
        <v>2300</v>
      </c>
      <c r="G9" t="str">
        <v>banana</v>
      </c>
      <c r="H9">
        <v>60</v>
      </c>
      <c r="I9">
        <v>15</v>
      </c>
      <c r="M9" s="1"/>
      <c r="N9" s="1"/>
      <c r="O9" s="1">
        <f>SUM(Tabela5[V3])</f>
        <v>400</v>
      </c>
    </row>
    <row r="10" spans="2:15" x14ac:dyDescent="0.25">
      <c r="M10" t="s">
        <v>37</v>
      </c>
      <c r="N10" s="38">
        <f>SUMPRODUCT(Tabela5[V1],Tabela5[V2])</f>
        <v>400</v>
      </c>
    </row>
    <row r="11" spans="2:15" x14ac:dyDescent="0.25">
      <c r="B11">
        <f t="array" ref="B11">SUMPRODUCT(C3:C8,D3:D8)</f>
        <v>2300</v>
      </c>
      <c r="G11" t="str" cm="1">
        <f t="array" ref="G11:G13">_xlfn.UNIQUE(B3:B8)</f>
        <v>maçã</v>
      </c>
    </row>
    <row r="12" spans="2:15" x14ac:dyDescent="0.25">
      <c r="B12" cm="1">
        <f t="array" ref="B12">SUMPRODUCT((C3:C8&gt;=25)*C3:C8*D3:D8)/SUMPRODUCT((C3:C8&gt;=25)*C3:C8)</f>
        <v>11.388888888888889</v>
      </c>
      <c r="G12" t="str">
        <v>pêra</v>
      </c>
    </row>
    <row r="13" spans="2:15" x14ac:dyDescent="0.25">
      <c r="G13" t="str">
        <v>banana</v>
      </c>
    </row>
    <row r="15" spans="2:15" ht="26.25" x14ac:dyDescent="0.4">
      <c r="F15" s="26" t="s">
        <v>58</v>
      </c>
    </row>
  </sheetData>
  <phoneticPr fontId="1" type="noConversion"/>
  <hyperlinks>
    <hyperlink ref="F15" location="MENU!A1" display="VOLTAR AO MENU" xr:uid="{FB05F1E8-503F-4429-9D66-D79079031F44}"/>
  </hyperlink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83A6-2CE0-46C0-B992-E7A94111BB4C}">
  <dimension ref="A2:F12"/>
  <sheetViews>
    <sheetView workbookViewId="0">
      <selection activeCell="F12" sqref="F12"/>
    </sheetView>
  </sheetViews>
  <sheetFormatPr defaultRowHeight="15" x14ac:dyDescent="0.25"/>
  <cols>
    <col min="1" max="1" width="11.28515625" bestFit="1" customWidth="1"/>
  </cols>
  <sheetData>
    <row r="2" spans="1:6" x14ac:dyDescent="0.25">
      <c r="C2" t="s">
        <v>105</v>
      </c>
    </row>
    <row r="3" spans="1:6" x14ac:dyDescent="0.25">
      <c r="B3" t="s">
        <v>23</v>
      </c>
      <c r="C3" t="str" cm="1">
        <f t="array" aca="1" ref="C3" ca="1">INDIRECT("B4")</f>
        <v>Manga</v>
      </c>
      <c r="D3" t="str">
        <f ca="1">C3</f>
        <v>Manga</v>
      </c>
    </row>
    <row r="4" spans="1:6" x14ac:dyDescent="0.25">
      <c r="A4" s="38" t="s">
        <v>107</v>
      </c>
      <c r="B4" s="38" t="s">
        <v>106</v>
      </c>
    </row>
    <row r="12" spans="1:6" ht="26.25" x14ac:dyDescent="0.4">
      <c r="F12" s="26" t="s">
        <v>58</v>
      </c>
    </row>
  </sheetData>
  <hyperlinks>
    <hyperlink ref="F12" location="MENU!A1" display="VOLTAR AO MENU" xr:uid="{D4719701-C1E0-490C-B015-CDF0F6D764D0}"/>
  </hyperlink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9C96-1B7C-4BB6-A895-BDBC5FE1514F}">
  <dimension ref="A1:G14"/>
  <sheetViews>
    <sheetView workbookViewId="0">
      <selection activeCell="F17" sqref="F17"/>
    </sheetView>
  </sheetViews>
  <sheetFormatPr defaultRowHeight="15" x14ac:dyDescent="0.25"/>
  <cols>
    <col min="2" max="2" width="10.5703125" style="18" bestFit="1" customWidth="1"/>
    <col min="4" max="4" width="14.42578125" bestFit="1" customWidth="1"/>
    <col min="5" max="5" width="28.28515625" bestFit="1" customWidth="1"/>
    <col min="7" max="7" width="30.5703125" bestFit="1" customWidth="1"/>
  </cols>
  <sheetData>
    <row r="1" spans="1:7" x14ac:dyDescent="0.25">
      <c r="A1" t="s">
        <v>27</v>
      </c>
      <c r="B1" s="18" t="s">
        <v>28</v>
      </c>
      <c r="D1" s="80" t="s">
        <v>29</v>
      </c>
      <c r="E1" s="80"/>
    </row>
    <row r="2" spans="1:7" x14ac:dyDescent="0.25">
      <c r="A2" t="s">
        <v>30</v>
      </c>
      <c r="B2" s="18">
        <v>100</v>
      </c>
      <c r="D2" s="19" t="s">
        <v>31</v>
      </c>
      <c r="E2" s="19"/>
    </row>
    <row r="3" spans="1:7" x14ac:dyDescent="0.25">
      <c r="A3" t="s">
        <v>32</v>
      </c>
      <c r="B3" s="18">
        <v>50</v>
      </c>
      <c r="D3" s="20">
        <f>SUMIF(B2:B13,"&gt;=100")</f>
        <v>405</v>
      </c>
      <c r="E3" s="19" t="s">
        <v>33</v>
      </c>
    </row>
    <row r="4" spans="1:7" x14ac:dyDescent="0.25">
      <c r="A4" t="s">
        <v>34</v>
      </c>
      <c r="B4" s="18">
        <v>23</v>
      </c>
      <c r="D4" s="21">
        <f>SUMIF($A$2:$A$13,"carlos",$B$2:$B$13)</f>
        <v>335</v>
      </c>
      <c r="E4" s="19" t="s">
        <v>30</v>
      </c>
    </row>
    <row r="5" spans="1:7" x14ac:dyDescent="0.25">
      <c r="A5" t="s">
        <v>35</v>
      </c>
      <c r="B5" s="18">
        <v>120</v>
      </c>
      <c r="D5" s="21">
        <f>SUMIF($A$2:$A$13,E5,$B$2:$B$13)</f>
        <v>175</v>
      </c>
      <c r="E5" s="19" t="s">
        <v>32</v>
      </c>
    </row>
    <row r="6" spans="1:7" x14ac:dyDescent="0.25">
      <c r="A6" t="s">
        <v>30</v>
      </c>
      <c r="B6" s="18">
        <v>50</v>
      </c>
      <c r="D6" s="21">
        <f t="shared" ref="D6:D7" si="0">SUMIF($A$2:$A$13,E6,$B$2:$B$13)</f>
        <v>232</v>
      </c>
      <c r="E6" s="19" t="s">
        <v>35</v>
      </c>
    </row>
    <row r="7" spans="1:7" x14ac:dyDescent="0.25">
      <c r="A7" t="s">
        <v>32</v>
      </c>
      <c r="B7" s="18">
        <v>65</v>
      </c>
      <c r="D7" s="21">
        <f t="shared" si="0"/>
        <v>120</v>
      </c>
      <c r="E7" s="19" t="s">
        <v>34</v>
      </c>
    </row>
    <row r="8" spans="1:7" x14ac:dyDescent="0.25">
      <c r="A8" t="s">
        <v>34</v>
      </c>
      <c r="B8" s="18">
        <v>85</v>
      </c>
      <c r="D8" s="21">
        <f>SUM(B2:B13)</f>
        <v>862</v>
      </c>
      <c r="E8" s="19" t="s">
        <v>36</v>
      </c>
    </row>
    <row r="9" spans="1:7" x14ac:dyDescent="0.25">
      <c r="A9" t="s">
        <v>35</v>
      </c>
      <c r="B9" s="18">
        <v>32</v>
      </c>
    </row>
    <row r="10" spans="1:7" x14ac:dyDescent="0.25">
      <c r="A10" t="s">
        <v>30</v>
      </c>
      <c r="B10" s="18">
        <v>185</v>
      </c>
      <c r="D10" s="80" t="s">
        <v>37</v>
      </c>
      <c r="E10" s="80"/>
    </row>
    <row r="11" spans="1:7" x14ac:dyDescent="0.25">
      <c r="A11" t="s">
        <v>32</v>
      </c>
      <c r="B11" s="18">
        <v>60</v>
      </c>
      <c r="D11" s="19" t="s">
        <v>31</v>
      </c>
      <c r="E11" s="19" t="s">
        <v>38</v>
      </c>
    </row>
    <row r="12" spans="1:7" x14ac:dyDescent="0.25">
      <c r="A12" t="s">
        <v>34</v>
      </c>
      <c r="B12" s="18">
        <v>12</v>
      </c>
      <c r="D12" s="20" cm="1">
        <f t="array" ref="D12">SUMPRODUCT((A2:A13=E12)*(B2:B13&lt;=100)*(B2:B13))</f>
        <v>112</v>
      </c>
      <c r="E12" s="19" t="s">
        <v>35</v>
      </c>
    </row>
    <row r="13" spans="1:7" x14ac:dyDescent="0.25">
      <c r="A13" t="s">
        <v>35</v>
      </c>
      <c r="B13" s="18">
        <v>80</v>
      </c>
    </row>
    <row r="14" spans="1:7" ht="26.25" x14ac:dyDescent="0.4">
      <c r="G14" s="26" t="s">
        <v>58</v>
      </c>
    </row>
  </sheetData>
  <mergeCells count="2">
    <mergeCell ref="D1:E1"/>
    <mergeCell ref="D10:E10"/>
  </mergeCells>
  <hyperlinks>
    <hyperlink ref="G14" location="MENU!A1" display="VOLTAR AO MENU" xr:uid="{436B51DB-A1CC-468A-9243-C27FA1D74DFB}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E5B7-7D15-4103-9CF2-7FC0FEE82827}">
  <dimension ref="A1:L8"/>
  <sheetViews>
    <sheetView workbookViewId="0">
      <selection activeCell="J11" sqref="J11"/>
    </sheetView>
  </sheetViews>
  <sheetFormatPr defaultRowHeight="15" x14ac:dyDescent="0.25"/>
  <cols>
    <col min="1" max="5" width="3" bestFit="1" customWidth="1"/>
    <col min="6" max="6" width="3" customWidth="1"/>
    <col min="9" max="9" width="3.28515625" customWidth="1"/>
    <col min="12" max="12" width="30.5703125" bestFit="1" customWidth="1"/>
  </cols>
  <sheetData>
    <row r="1" spans="1:12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/>
      <c r="G1" s="81" t="s">
        <v>24</v>
      </c>
      <c r="H1" s="82"/>
      <c r="J1" s="81" t="s">
        <v>25</v>
      </c>
      <c r="K1" s="82"/>
    </row>
    <row r="2" spans="1:12" x14ac:dyDescent="0.25">
      <c r="A2" s="1">
        <v>6</v>
      </c>
      <c r="B2" s="1">
        <v>7</v>
      </c>
      <c r="C2" s="1">
        <v>8</v>
      </c>
      <c r="D2" s="1">
        <v>9</v>
      </c>
      <c r="E2" s="1">
        <v>10</v>
      </c>
      <c r="F2" s="1"/>
      <c r="G2" s="17">
        <f>A1+B1</f>
        <v>3</v>
      </c>
      <c r="H2" s="17">
        <f>B1+C1</f>
        <v>5</v>
      </c>
      <c r="J2" s="17">
        <f>$A$1+$B$1</f>
        <v>3</v>
      </c>
      <c r="K2" s="17">
        <f>$A$1+$B$1</f>
        <v>3</v>
      </c>
    </row>
    <row r="3" spans="1:12" x14ac:dyDescent="0.25">
      <c r="A3" s="1">
        <v>11</v>
      </c>
      <c r="B3" s="1">
        <v>12</v>
      </c>
      <c r="C3" s="1">
        <v>13</v>
      </c>
      <c r="D3" s="1">
        <v>14</v>
      </c>
      <c r="E3" s="1">
        <v>15</v>
      </c>
      <c r="F3" s="1"/>
      <c r="G3" s="17">
        <f>A2+B2</f>
        <v>13</v>
      </c>
      <c r="H3" s="17"/>
      <c r="J3" s="17">
        <f>$A$1+$B$1</f>
        <v>3</v>
      </c>
      <c r="K3" s="17"/>
    </row>
    <row r="4" spans="1:12" x14ac:dyDescent="0.25">
      <c r="A4" s="1">
        <v>16</v>
      </c>
      <c r="B4" s="1">
        <v>17</v>
      </c>
      <c r="C4" s="1">
        <v>18</v>
      </c>
      <c r="D4" s="1">
        <v>19</v>
      </c>
      <c r="E4" s="1">
        <v>20</v>
      </c>
      <c r="F4" s="1"/>
    </row>
    <row r="5" spans="1:12" x14ac:dyDescent="0.25">
      <c r="A5" s="1">
        <v>21</v>
      </c>
      <c r="B5" s="1">
        <v>22</v>
      </c>
      <c r="C5" s="1">
        <v>23</v>
      </c>
      <c r="D5" s="1">
        <v>24</v>
      </c>
      <c r="E5" s="1">
        <v>25</v>
      </c>
      <c r="F5" s="1"/>
      <c r="G5" s="81" t="s">
        <v>26</v>
      </c>
      <c r="H5" s="82"/>
    </row>
    <row r="6" spans="1:12" x14ac:dyDescent="0.25">
      <c r="G6" s="17">
        <f>$A1+B$1</f>
        <v>3</v>
      </c>
      <c r="H6" s="17">
        <f>$A1+C$1</f>
        <v>4</v>
      </c>
    </row>
    <row r="7" spans="1:12" x14ac:dyDescent="0.25">
      <c r="G7" s="17">
        <f>A$1+$B2</f>
        <v>8</v>
      </c>
      <c r="H7" s="17"/>
    </row>
    <row r="8" spans="1:12" ht="26.25" x14ac:dyDescent="0.4">
      <c r="L8" s="26" t="s">
        <v>58</v>
      </c>
    </row>
  </sheetData>
  <mergeCells count="3">
    <mergeCell ref="G1:H1"/>
    <mergeCell ref="J1:K1"/>
    <mergeCell ref="G5:H5"/>
  </mergeCells>
  <hyperlinks>
    <hyperlink ref="L8" location="MENU!A1" display="VOLTAR AO MENU" xr:uid="{0A233212-2391-4B99-8BBC-1AC525F8B883}"/>
  </hyperlink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26DCD7-6A1B-48B0-A953-94D0874E8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2</vt:i4>
      </vt:variant>
    </vt:vector>
  </HeadingPairs>
  <TitlesOfParts>
    <vt:vector size="25" baseType="lpstr">
      <vt:lpstr>MENU</vt:lpstr>
      <vt:lpstr>DATAS, TEXTO</vt:lpstr>
      <vt:lpstr>ESQUERDA, DIREITA</vt:lpstr>
      <vt:lpstr>REMOVER DUPLICATAS E TXT PARA C</vt:lpstr>
      <vt:lpstr>AGRUPAR</vt:lpstr>
      <vt:lpstr>SUBTOTAL</vt:lpstr>
      <vt:lpstr>FILTRO AVANÇADO</vt:lpstr>
      <vt:lpstr>Auditoria de fórmulas</vt:lpstr>
      <vt:lpstr>Sensibilidade</vt:lpstr>
      <vt:lpstr>Resumo do cenário</vt:lpstr>
      <vt:lpstr>Gerenciar cenário</vt:lpstr>
      <vt:lpstr>Atingir meta</vt:lpstr>
      <vt:lpstr>Lista_Suspensa</vt:lpstr>
      <vt:lpstr>TRANSPOR</vt:lpstr>
      <vt:lpstr>PROCV H + IND+CORRESP</vt:lpstr>
      <vt:lpstr>e, se, ou, não</vt:lpstr>
      <vt:lpstr>SEERRO</vt:lpstr>
      <vt:lpstr>CONT,SOMA,MEDIA</vt:lpstr>
      <vt:lpstr>DESLOC</vt:lpstr>
      <vt:lpstr>FUNÇÃO MATRIZ</vt:lpstr>
      <vt:lpstr>INDIRETO</vt:lpstr>
      <vt:lpstr>SOMARPRODUTO</vt:lpstr>
      <vt:lpstr>REFERÊNCIAS</vt:lpstr>
      <vt:lpstr>'FILTRO AVANÇADO'!Area_de_extracao</vt:lpstr>
      <vt:lpstr>'FILTRO AVANÇADO'!Criterios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Kaiel</dc:creator>
  <cp:lastModifiedBy>Daniel Kaiel</cp:lastModifiedBy>
  <dcterms:created xsi:type="dcterms:W3CDTF">2025-10-13T18:08:45Z</dcterms:created>
  <dcterms:modified xsi:type="dcterms:W3CDTF">2026-01-22T11:21:29Z</dcterms:modified>
</cp:coreProperties>
</file>